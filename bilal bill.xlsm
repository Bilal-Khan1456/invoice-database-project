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702592F1-9D50-42A1-8BA9-D043B31950B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voice" sheetId="1" r:id="rId1"/>
    <sheet name="InvoiceDatabase" sheetId="4" r:id="rId2"/>
    <sheet name="Sheet2" sheetId="2" r:id="rId3"/>
    <sheet name="Sheet3" sheetId="3" r:id="rId4"/>
  </sheets>
  <definedNames>
    <definedName name="list">OFFSET(Sheet2!$E$5,1,0,COUNTA(Sheet2!$E:$E)-1,1)</definedName>
    <definedName name="_xlnm.Print_Area" localSheetId="0">Invoice!$B$1:$W$51</definedName>
    <definedName name="Units">OFFSET(Sheet2!$G$5,1,0,COUNTA(Sheet2!$G:$G)-1,1)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1" l="1"/>
  <c r="J23" i="1"/>
  <c r="J22" i="1"/>
  <c r="J21" i="1"/>
  <c r="J20" i="1"/>
  <c r="J19" i="1"/>
  <c r="J18" i="1"/>
  <c r="J17" i="1"/>
  <c r="V17" i="1" s="1"/>
  <c r="J16" i="1"/>
  <c r="J15" i="1"/>
  <c r="BC4" i="4"/>
  <c r="AX4" i="4"/>
  <c r="AS4" i="4"/>
  <c r="AN4" i="4"/>
  <c r="AI4" i="4"/>
  <c r="AD4" i="4"/>
  <c r="Y4" i="4"/>
  <c r="T4" i="4"/>
  <c r="O4" i="4"/>
  <c r="J4" i="4"/>
  <c r="A2" i="3"/>
  <c r="BC3" i="4"/>
  <c r="AX3" i="4"/>
  <c r="AS3" i="4"/>
  <c r="AN3" i="4"/>
  <c r="AI3" i="4"/>
  <c r="AD3" i="4"/>
  <c r="Y3" i="4"/>
  <c r="T3" i="4"/>
  <c r="O3" i="4"/>
  <c r="J3" i="4"/>
  <c r="BC2" i="4"/>
  <c r="AX2" i="4"/>
  <c r="AS2" i="4"/>
  <c r="AN2" i="4"/>
  <c r="AI2" i="4"/>
  <c r="AD2" i="4"/>
  <c r="Y2" i="4"/>
  <c r="T2" i="4"/>
  <c r="O2" i="4"/>
  <c r="J2" i="4"/>
  <c r="S38" i="1"/>
  <c r="O35" i="1"/>
  <c r="V34" i="1"/>
  <c r="V33" i="1"/>
  <c r="V32" i="1"/>
  <c r="V31" i="1"/>
  <c r="V28" i="1"/>
  <c r="T28" i="1"/>
  <c r="S28" i="1"/>
  <c r="R28" i="1"/>
  <c r="O28" i="1"/>
  <c r="J28" i="1"/>
  <c r="V27" i="1"/>
  <c r="T27" i="1"/>
  <c r="S27" i="1"/>
  <c r="R27" i="1"/>
  <c r="O27" i="1"/>
  <c r="J27" i="1"/>
  <c r="V26" i="1"/>
  <c r="T26" i="1"/>
  <c r="S26" i="1"/>
  <c r="R26" i="1"/>
  <c r="O26" i="1"/>
  <c r="J26" i="1"/>
  <c r="V25" i="1"/>
  <c r="T25" i="1"/>
  <c r="S25" i="1"/>
  <c r="O25" i="1"/>
  <c r="J25" i="1"/>
  <c r="T24" i="1"/>
  <c r="S24" i="1"/>
  <c r="R24" i="1"/>
  <c r="O24" i="1"/>
  <c r="V24" i="1"/>
  <c r="T23" i="1"/>
  <c r="S23" i="1"/>
  <c r="R23" i="1"/>
  <c r="O23" i="1"/>
  <c r="V23" i="1"/>
  <c r="T22" i="1"/>
  <c r="S22" i="1"/>
  <c r="R22" i="1"/>
  <c r="O22" i="1"/>
  <c r="V22" i="1"/>
  <c r="T21" i="1"/>
  <c r="S21" i="1"/>
  <c r="R21" i="1"/>
  <c r="O21" i="1"/>
  <c r="V21" i="1"/>
  <c r="T20" i="1"/>
  <c r="S20" i="1"/>
  <c r="R20" i="1"/>
  <c r="O20" i="1"/>
  <c r="V20" i="1"/>
  <c r="T19" i="1"/>
  <c r="S19" i="1"/>
  <c r="R19" i="1"/>
  <c r="O19" i="1"/>
  <c r="V19" i="1"/>
  <c r="T18" i="1"/>
  <c r="S18" i="1"/>
  <c r="R18" i="1"/>
  <c r="O18" i="1"/>
  <c r="V18" i="1"/>
  <c r="T17" i="1"/>
  <c r="S17" i="1"/>
  <c r="R17" i="1"/>
  <c r="O17" i="1"/>
  <c r="T16" i="1"/>
  <c r="S16" i="1"/>
  <c r="R16" i="1"/>
  <c r="O16" i="1"/>
  <c r="V16" i="1"/>
  <c r="T15" i="1"/>
  <c r="S15" i="1"/>
  <c r="R15" i="1"/>
  <c r="O15" i="1"/>
  <c r="V15" i="1"/>
  <c r="Q11" i="1"/>
  <c r="Q10" i="1"/>
  <c r="Q9" i="1"/>
  <c r="O9" i="1"/>
  <c r="V8" i="1"/>
  <c r="Q8" i="1"/>
  <c r="Q7" i="1"/>
  <c r="K7" i="1"/>
  <c r="V7" i="1" s="1"/>
</calcChain>
</file>

<file path=xl/sharedStrings.xml><?xml version="1.0" encoding="utf-8"?>
<sst xmlns="http://schemas.openxmlformats.org/spreadsheetml/2006/main" count="196" uniqueCount="108">
  <si>
    <t>Invoice</t>
  </si>
  <si>
    <t>NAQSH COMPUTER ACCESSORIES</t>
  </si>
  <si>
    <t>H.No. 401,Liaquat Colony, Hyderabad</t>
  </si>
  <si>
    <t>H.No.401,Liaquat Colony, Hyderabad</t>
  </si>
  <si>
    <t>Ph:- 03111320440,03703004750</t>
  </si>
  <si>
    <t>Ph:-03111320440,03703004750</t>
  </si>
  <si>
    <t>Book No.</t>
  </si>
  <si>
    <t>:</t>
  </si>
  <si>
    <t>Date/Time</t>
  </si>
  <si>
    <t>Book  No.</t>
  </si>
  <si>
    <t>Invoice No.</t>
  </si>
  <si>
    <t>Contact</t>
  </si>
  <si>
    <t>Party's Name</t>
  </si>
  <si>
    <t>gjghgy</t>
  </si>
  <si>
    <t>Address</t>
  </si>
  <si>
    <t>hgguuhoiyuhjnlkhhgj</t>
  </si>
  <si>
    <t>Description of Goods</t>
  </si>
  <si>
    <t>Unit</t>
  </si>
  <si>
    <t>Quantity</t>
  </si>
  <si>
    <t>Rate</t>
  </si>
  <si>
    <t>Amount</t>
  </si>
  <si>
    <t>Mouse</t>
  </si>
  <si>
    <t>Nos.</t>
  </si>
  <si>
    <t>Hard Disk</t>
  </si>
  <si>
    <t>Pcs</t>
  </si>
  <si>
    <t>SSD</t>
  </si>
  <si>
    <t>Keyboard</t>
  </si>
  <si>
    <t>Total</t>
  </si>
  <si>
    <t>Declaration</t>
  </si>
  <si>
    <t>Total Amount</t>
  </si>
  <si>
    <t>Once goods sold can't return back</t>
  </si>
  <si>
    <t>Discount if any</t>
  </si>
  <si>
    <t>warantly only branded item</t>
  </si>
  <si>
    <t>Vat @</t>
  </si>
  <si>
    <t>no physical waranty</t>
  </si>
  <si>
    <t>Grand Total</t>
  </si>
  <si>
    <t>return charge less 20%</t>
  </si>
  <si>
    <t>Signature</t>
  </si>
  <si>
    <t>Invoice No</t>
  </si>
  <si>
    <t>Date</t>
  </si>
  <si>
    <t>Customer Name</t>
  </si>
  <si>
    <t>Item 1</t>
  </si>
  <si>
    <t>Unit 1</t>
  </si>
  <si>
    <t>Qty 1</t>
  </si>
  <si>
    <t>Rate 1</t>
  </si>
  <si>
    <t>Amount 1</t>
  </si>
  <si>
    <t>Item 2</t>
  </si>
  <si>
    <t>Unit 2</t>
  </si>
  <si>
    <t>Qty 2</t>
  </si>
  <si>
    <t>Rate 2</t>
  </si>
  <si>
    <t xml:space="preserve">Amount 2 </t>
  </si>
  <si>
    <t>Item 3</t>
  </si>
  <si>
    <t>Unit 3</t>
  </si>
  <si>
    <t>Qty 3</t>
  </si>
  <si>
    <t>Rate 3</t>
  </si>
  <si>
    <t>Amount 3</t>
  </si>
  <si>
    <t>Item 4</t>
  </si>
  <si>
    <t>Unit 4</t>
  </si>
  <si>
    <t>Qty 4</t>
  </si>
  <si>
    <t>Rate 4</t>
  </si>
  <si>
    <t>Amount 4</t>
  </si>
  <si>
    <t>Item 5</t>
  </si>
  <si>
    <t>Unit 5</t>
  </si>
  <si>
    <t>Qty 5</t>
  </si>
  <si>
    <t>Rate 5</t>
  </si>
  <si>
    <t xml:space="preserve">Amount 5 </t>
  </si>
  <si>
    <t>Item 6</t>
  </si>
  <si>
    <t>Unit 6</t>
  </si>
  <si>
    <t>Qty 6</t>
  </si>
  <si>
    <t>Rate 6</t>
  </si>
  <si>
    <t>Amount 6</t>
  </si>
  <si>
    <t>Item 7</t>
  </si>
  <si>
    <t>Unit 7</t>
  </si>
  <si>
    <t>Qty 7</t>
  </si>
  <si>
    <t>Rate 7</t>
  </si>
  <si>
    <t xml:space="preserve">Amount 7 </t>
  </si>
  <si>
    <t>Item 8</t>
  </si>
  <si>
    <t>Unit 8</t>
  </si>
  <si>
    <t>Qty 8</t>
  </si>
  <si>
    <t>Rate 8</t>
  </si>
  <si>
    <t>Amount 8</t>
  </si>
  <si>
    <t>Item 9</t>
  </si>
  <si>
    <t>Unit 9</t>
  </si>
  <si>
    <t>Qty 9</t>
  </si>
  <si>
    <t>Rate 9</t>
  </si>
  <si>
    <t>Amount 9</t>
  </si>
  <si>
    <t>Item 10</t>
  </si>
  <si>
    <t>Unit 10</t>
  </si>
  <si>
    <t>Qty 10</t>
  </si>
  <si>
    <t>Rate 10</t>
  </si>
  <si>
    <t xml:space="preserve">Amount 10 </t>
  </si>
  <si>
    <t>Discount</t>
  </si>
  <si>
    <t>Tax</t>
  </si>
  <si>
    <t>Bilal</t>
  </si>
  <si>
    <t>buyefjnwlf894joeip</t>
  </si>
  <si>
    <t>Units</t>
  </si>
  <si>
    <t>Mother Board</t>
  </si>
  <si>
    <t>CPU</t>
  </si>
  <si>
    <t>Meters</t>
  </si>
  <si>
    <t>Kgs</t>
  </si>
  <si>
    <t>Dozens</t>
  </si>
  <si>
    <t>USB</t>
  </si>
  <si>
    <t>Memory Cards</t>
  </si>
  <si>
    <t>CDs</t>
  </si>
  <si>
    <t>PC Chargers</t>
  </si>
  <si>
    <t>Head Phones</t>
  </si>
  <si>
    <t>Nabia</t>
  </si>
  <si>
    <t>House no 123, Block abc ,Islamabad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</si>
</sst>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5" formatCode="_(* #,##0_);_(* \(#,##0\);_(* &quot;-&quot;??_);_(@_)"/>
    <numFmt numFmtId="166" formatCode="0.0%"/>
  </numFmts>
  <fonts count="8">
    <font>
      <sz val="11"/>
      <color theme="1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sz val="16"/>
      <color rgb="FF1E8453"/>
      <name val="Algerian"/>
      <charset val="134"/>
    </font>
    <font>
      <b/>
      <sz val="11"/>
      <color theme="1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11"/>
      <name val="Calibri"/>
      <charset val="134"/>
      <scheme val="minor"/>
    </font>
    <font>
      <sz val="11"/>
      <color theme="1"/>
      <name val="Calibri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vertical="top"/>
    </xf>
    <xf numFmtId="0" fontId="0" fillId="0" borderId="0" xfId="0" applyBorder="1" applyAlignment="1">
      <alignment horizontal="right" vertical="top"/>
    </xf>
    <xf numFmtId="0" fontId="3" fillId="2" borderId="4" xfId="0" applyFont="1" applyFill="1" applyBorder="1" applyAlignment="1">
      <alignment horizontal="center" vertical="center"/>
    </xf>
    <xf numFmtId="0" fontId="0" fillId="0" borderId="4" xfId="0" applyBorder="1"/>
    <xf numFmtId="0" fontId="3" fillId="0" borderId="0" xfId="0" applyFont="1" applyBorder="1"/>
    <xf numFmtId="0" fontId="4" fillId="0" borderId="0" xfId="0" applyFont="1" applyBorder="1"/>
    <xf numFmtId="0" fontId="5" fillId="0" borderId="4" xfId="2" applyBorder="1" applyAlignment="1">
      <alignment horizontal="right"/>
    </xf>
    <xf numFmtId="166" fontId="0" fillId="0" borderId="4" xfId="0" applyNumberFormat="1" applyBorder="1" applyAlignment="1">
      <alignment horizontal="left"/>
    </xf>
    <xf numFmtId="0" fontId="0" fillId="0" borderId="0" xfId="0" applyBorder="1" applyAlignme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2" fontId="0" fillId="0" borderId="0" xfId="0" applyNumberFormat="1" applyBorder="1"/>
    <xf numFmtId="14" fontId="0" fillId="0" borderId="0" xfId="0" applyNumberFormat="1" applyBorder="1" applyAlignment="1">
      <alignment vertical="top"/>
    </xf>
    <xf numFmtId="0" fontId="6" fillId="2" borderId="4" xfId="0" applyFont="1" applyFill="1" applyBorder="1" applyAlignment="1">
      <alignment horizontal="center" vertical="center"/>
    </xf>
    <xf numFmtId="14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0" fontId="0" fillId="2" borderId="4" xfId="0" applyFill="1" applyBorder="1" applyAlignment="1">
      <alignment horizontal="left"/>
    </xf>
    <xf numFmtId="0" fontId="3" fillId="2" borderId="4" xfId="0" applyFont="1" applyFill="1" applyBorder="1"/>
    <xf numFmtId="0" fontId="0" fillId="0" borderId="12" xfId="0" applyBorder="1"/>
    <xf numFmtId="0" fontId="0" fillId="0" borderId="4" xfId="0" applyBorder="1" applyAlignment="1">
      <alignment horizontal="right"/>
    </xf>
    <xf numFmtId="10" fontId="0" fillId="0" borderId="4" xfId="0" applyNumberFormat="1" applyBorder="1" applyAlignment="1">
      <alignment horizontal="left"/>
    </xf>
    <xf numFmtId="0" fontId="0" fillId="2" borderId="4" xfId="0" applyFill="1" applyBorder="1"/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2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165" fontId="0" fillId="0" borderId="5" xfId="1" applyNumberFormat="1" applyFont="1" applyBorder="1" applyAlignment="1">
      <alignment horizontal="right"/>
    </xf>
    <xf numFmtId="165" fontId="0" fillId="0" borderId="11" xfId="1" applyNumberFormat="1" applyFont="1" applyBorder="1" applyAlignment="1">
      <alignment horizontal="right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165" fontId="0" fillId="0" borderId="4" xfId="1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0" xfId="0" applyBorder="1" applyAlignment="1">
      <alignment horizontal="left"/>
    </xf>
    <xf numFmtId="0" fontId="3" fillId="2" borderId="4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1E8453"/>
      <color rgb="FF2D4513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85725</xdr:colOff>
      <xdr:row>1</xdr:row>
      <xdr:rowOff>47626</xdr:rowOff>
    </xdr:from>
    <xdr:to>
      <xdr:col>24</xdr:col>
      <xdr:colOff>1085850</xdr:colOff>
      <xdr:row>3</xdr:row>
      <xdr:rowOff>28576</xdr:rowOff>
    </xdr:to>
    <xdr:sp macro="[0]!RoundedRectangle2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258675" y="247650"/>
          <a:ext cx="1600200" cy="4762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/>
            <a:t>Create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G4" totalsRowShown="0">
  <autoFilter ref="A1:BG4" xr:uid="{00000000-0009-0000-0100-000001000000}"/>
  <tableColumns count="59">
    <tableColumn id="1" xr3:uid="{00000000-0010-0000-0000-000001000000}" name="Invoice No"/>
    <tableColumn id="2" xr3:uid="{00000000-0010-0000-0000-000002000000}" name="Date"/>
    <tableColumn id="3" xr3:uid="{00000000-0010-0000-0000-000003000000}" name="Contact"/>
    <tableColumn id="4" xr3:uid="{00000000-0010-0000-0000-000004000000}" name="Customer Name"/>
    <tableColumn id="5" xr3:uid="{00000000-0010-0000-0000-000005000000}" name="Address"/>
    <tableColumn id="6" xr3:uid="{00000000-0010-0000-0000-000006000000}" name="Item 1"/>
    <tableColumn id="7" xr3:uid="{00000000-0010-0000-0000-000007000000}" name="Unit 1"/>
    <tableColumn id="8" xr3:uid="{00000000-0010-0000-0000-000008000000}" name="Qty 1"/>
    <tableColumn id="9" xr3:uid="{00000000-0010-0000-0000-000009000000}" name="Rate 1"/>
    <tableColumn id="10" xr3:uid="{00000000-0010-0000-0000-00000A000000}" name="Amount 1">
      <calculatedColumnFormula>H2*I2</calculatedColumnFormula>
    </tableColumn>
    <tableColumn id="11" xr3:uid="{00000000-0010-0000-0000-00000B000000}" name="Item 2"/>
    <tableColumn id="12" xr3:uid="{00000000-0010-0000-0000-00000C000000}" name="Unit 2"/>
    <tableColumn id="13" xr3:uid="{00000000-0010-0000-0000-00000D000000}" name="Qty 2"/>
    <tableColumn id="14" xr3:uid="{00000000-0010-0000-0000-00000E000000}" name="Rate 2"/>
    <tableColumn id="15" xr3:uid="{00000000-0010-0000-0000-00000F000000}" name="Amount 2 ">
      <calculatedColumnFormula>M2*N2</calculatedColumnFormula>
    </tableColumn>
    <tableColumn id="16" xr3:uid="{00000000-0010-0000-0000-000010000000}" name="Item 3"/>
    <tableColumn id="17" xr3:uid="{00000000-0010-0000-0000-000011000000}" name="Unit 3"/>
    <tableColumn id="18" xr3:uid="{00000000-0010-0000-0000-000012000000}" name="Qty 3"/>
    <tableColumn id="19" xr3:uid="{00000000-0010-0000-0000-000013000000}" name="Rate 3"/>
    <tableColumn id="20" xr3:uid="{00000000-0010-0000-0000-000014000000}" name="Amount 3">
      <calculatedColumnFormula>R2*S2</calculatedColumnFormula>
    </tableColumn>
    <tableColumn id="21" xr3:uid="{00000000-0010-0000-0000-000015000000}" name="Item 4"/>
    <tableColumn id="22" xr3:uid="{00000000-0010-0000-0000-000016000000}" name="Unit 4"/>
    <tableColumn id="23" xr3:uid="{00000000-0010-0000-0000-000017000000}" name="Qty 4"/>
    <tableColumn id="24" xr3:uid="{00000000-0010-0000-0000-000018000000}" name="Rate 4"/>
    <tableColumn id="25" xr3:uid="{00000000-0010-0000-0000-000019000000}" name="Amount 4">
      <calculatedColumnFormula>W2*X2</calculatedColumnFormula>
    </tableColumn>
    <tableColumn id="26" xr3:uid="{00000000-0010-0000-0000-00001A000000}" name="Item 5"/>
    <tableColumn id="27" xr3:uid="{00000000-0010-0000-0000-00001B000000}" name="Unit 5"/>
    <tableColumn id="28" xr3:uid="{00000000-0010-0000-0000-00001C000000}" name="Qty 5"/>
    <tableColumn id="29" xr3:uid="{00000000-0010-0000-0000-00001D000000}" name="Rate 5"/>
    <tableColumn id="30" xr3:uid="{00000000-0010-0000-0000-00001E000000}" name="Amount 5 ">
      <calculatedColumnFormula>AB2*AC2</calculatedColumnFormula>
    </tableColumn>
    <tableColumn id="31" xr3:uid="{00000000-0010-0000-0000-00001F000000}" name="Item 6"/>
    <tableColumn id="32" xr3:uid="{00000000-0010-0000-0000-000020000000}" name="Unit 6"/>
    <tableColumn id="33" xr3:uid="{00000000-0010-0000-0000-000021000000}" name="Qty 6"/>
    <tableColumn id="34" xr3:uid="{00000000-0010-0000-0000-000022000000}" name="Rate 6"/>
    <tableColumn id="35" xr3:uid="{00000000-0010-0000-0000-000023000000}" name="Amount 6">
      <calculatedColumnFormula>AG2*AH2</calculatedColumnFormula>
    </tableColumn>
    <tableColumn id="36" xr3:uid="{00000000-0010-0000-0000-000024000000}" name="Item 7"/>
    <tableColumn id="37" xr3:uid="{00000000-0010-0000-0000-000025000000}" name="Unit 7"/>
    <tableColumn id="38" xr3:uid="{00000000-0010-0000-0000-000026000000}" name="Qty 7"/>
    <tableColumn id="39" xr3:uid="{00000000-0010-0000-0000-000027000000}" name="Rate 7"/>
    <tableColumn id="40" xr3:uid="{00000000-0010-0000-0000-000028000000}" name="Amount 7 ">
      <calculatedColumnFormula>AL2*AM2</calculatedColumnFormula>
    </tableColumn>
    <tableColumn id="41" xr3:uid="{00000000-0010-0000-0000-000029000000}" name="Item 8"/>
    <tableColumn id="42" xr3:uid="{00000000-0010-0000-0000-00002A000000}" name="Unit 8"/>
    <tableColumn id="43" xr3:uid="{00000000-0010-0000-0000-00002B000000}" name="Qty 8"/>
    <tableColumn id="44" xr3:uid="{00000000-0010-0000-0000-00002C000000}" name="Rate 8"/>
    <tableColumn id="45" xr3:uid="{00000000-0010-0000-0000-00002D000000}" name="Amount 8">
      <calculatedColumnFormula>AQ2*AR2</calculatedColumnFormula>
    </tableColumn>
    <tableColumn id="46" xr3:uid="{00000000-0010-0000-0000-00002E000000}" name="Item 9"/>
    <tableColumn id="47" xr3:uid="{00000000-0010-0000-0000-00002F000000}" name="Unit 9"/>
    <tableColumn id="48" xr3:uid="{00000000-0010-0000-0000-000030000000}" name="Qty 9"/>
    <tableColumn id="49" xr3:uid="{00000000-0010-0000-0000-000031000000}" name="Rate 9"/>
    <tableColumn id="50" xr3:uid="{00000000-0010-0000-0000-000032000000}" name="Amount 9">
      <calculatedColumnFormula>AV2*AW2</calculatedColumnFormula>
    </tableColumn>
    <tableColumn id="51" xr3:uid="{00000000-0010-0000-0000-000033000000}" name="Item 10"/>
    <tableColumn id="52" xr3:uid="{00000000-0010-0000-0000-000034000000}" name="Unit 10"/>
    <tableColumn id="53" xr3:uid="{00000000-0010-0000-0000-000035000000}" name="Qty 10"/>
    <tableColumn id="54" xr3:uid="{00000000-0010-0000-0000-000036000000}" name="Rate 10"/>
    <tableColumn id="55" xr3:uid="{00000000-0010-0000-0000-000037000000}" name="Amount 10 ">
      <calculatedColumnFormula>BA2*BB2</calculatedColumnFormula>
    </tableColumn>
    <tableColumn id="56" xr3:uid="{00000000-0010-0000-0000-000038000000}" name="Total Amount"/>
    <tableColumn id="57" xr3:uid="{00000000-0010-0000-0000-000039000000}" name="Discount"/>
    <tableColumn id="58" xr3:uid="{00000000-0010-0000-0000-00003A000000}" name="Tax"/>
    <tableColumn id="59" xr3:uid="{00000000-0010-0000-0000-00003B000000}" name="Grand Tot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F109"/>
  <sheetViews>
    <sheetView tabSelected="1" zoomScale="85" zoomScaleNormal="85" workbookViewId="0">
      <selection activeCell="G34" sqref="G34:H34"/>
    </sheetView>
  </sheetViews>
  <sheetFormatPr defaultColWidth="9" defaultRowHeight="15"/>
  <cols>
    <col min="2" max="2" width="1.85546875" customWidth="1"/>
    <col min="3" max="3" width="13.42578125" customWidth="1"/>
    <col min="4" max="4" width="1.140625" customWidth="1"/>
    <col min="5" max="5" width="14" customWidth="1"/>
    <col min="6" max="6" width="9.7109375" customWidth="1"/>
    <col min="7" max="7" width="10.7109375" customWidth="1"/>
    <col min="8" max="8" width="11" customWidth="1"/>
    <col min="9" max="9" width="0.42578125" customWidth="1"/>
    <col min="10" max="10" width="0.5703125" customWidth="1"/>
    <col min="11" max="11" width="17.7109375" customWidth="1"/>
    <col min="12" max="12" width="2.28515625" customWidth="1"/>
    <col min="13" max="13" width="6.7109375" customWidth="1"/>
    <col min="14" max="14" width="1.5703125" customWidth="1"/>
    <col min="15" max="15" width="12.7109375" customWidth="1"/>
    <col min="16" max="16" width="1.28515625" customWidth="1"/>
    <col min="17" max="17" width="14.5703125" customWidth="1"/>
    <col min="18" max="18" width="10.42578125" customWidth="1"/>
    <col min="19" max="19" width="11.140625" customWidth="1"/>
    <col min="20" max="20" width="11.28515625" customWidth="1"/>
    <col min="21" max="21" width="1.28515625" customWidth="1"/>
    <col min="22" max="22" width="18.5703125" customWidth="1"/>
    <col min="23" max="23" width="1.140625" customWidth="1"/>
    <col min="25" max="25" width="17.5703125" customWidth="1"/>
  </cols>
  <sheetData>
    <row r="1" spans="2:3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55"/>
      <c r="N1" s="1"/>
      <c r="O1" s="1"/>
      <c r="P1" s="1"/>
      <c r="Q1" s="1"/>
      <c r="R1" s="1"/>
      <c r="S1" s="1"/>
      <c r="T1" s="1"/>
      <c r="U1" s="1"/>
      <c r="V1" s="1"/>
      <c r="W1" s="1"/>
      <c r="Z1" s="55"/>
      <c r="AA1" s="55"/>
      <c r="AB1" s="55"/>
      <c r="AC1" s="55"/>
      <c r="AD1" s="55"/>
      <c r="AE1" s="55"/>
      <c r="AF1" s="55"/>
    </row>
    <row r="2" spans="2:32" ht="15.75" customHeight="1">
      <c r="B2" s="2"/>
      <c r="C2" s="30" t="s">
        <v>0</v>
      </c>
      <c r="D2" s="31"/>
      <c r="E2" s="31"/>
      <c r="F2" s="31"/>
      <c r="G2" s="31"/>
      <c r="H2" s="31"/>
      <c r="I2" s="31"/>
      <c r="J2" s="31"/>
      <c r="K2" s="31"/>
      <c r="L2" s="17"/>
      <c r="M2" s="55"/>
      <c r="N2" s="2"/>
      <c r="O2" s="30" t="s">
        <v>0</v>
      </c>
      <c r="P2" s="31"/>
      <c r="Q2" s="31"/>
      <c r="R2" s="31"/>
      <c r="S2" s="31"/>
      <c r="T2" s="31"/>
      <c r="U2" s="31"/>
      <c r="V2" s="31"/>
      <c r="W2" s="17"/>
      <c r="Z2" s="55"/>
      <c r="AA2" s="55"/>
      <c r="AB2" s="55"/>
      <c r="AC2" s="55"/>
      <c r="AD2" s="55"/>
      <c r="AE2" s="55"/>
      <c r="AF2" s="55"/>
    </row>
    <row r="3" spans="2:32" ht="23.25" customHeight="1">
      <c r="B3" s="3"/>
      <c r="C3" s="32" t="s">
        <v>1</v>
      </c>
      <c r="D3" s="33"/>
      <c r="E3" s="33"/>
      <c r="F3" s="33"/>
      <c r="G3" s="33"/>
      <c r="H3" s="33"/>
      <c r="I3" s="33"/>
      <c r="J3" s="33"/>
      <c r="K3" s="33"/>
      <c r="L3" s="18"/>
      <c r="M3" s="55"/>
      <c r="N3" s="3"/>
      <c r="O3" s="34" t="s">
        <v>1</v>
      </c>
      <c r="P3" s="35"/>
      <c r="Q3" s="35"/>
      <c r="R3" s="35"/>
      <c r="S3" s="35"/>
      <c r="T3" s="35"/>
      <c r="U3" s="35"/>
      <c r="V3" s="35"/>
      <c r="W3" s="18"/>
      <c r="Z3" s="55"/>
      <c r="AA3" s="55"/>
      <c r="AB3" s="55"/>
      <c r="AC3" s="55"/>
      <c r="AD3" s="55"/>
      <c r="AE3" s="55"/>
      <c r="AF3" s="55"/>
    </row>
    <row r="4" spans="2:32" ht="14.25" customHeight="1">
      <c r="B4" s="3"/>
      <c r="C4" s="35" t="s">
        <v>2</v>
      </c>
      <c r="D4" s="35"/>
      <c r="E4" s="35"/>
      <c r="F4" s="35"/>
      <c r="G4" s="35"/>
      <c r="H4" s="35"/>
      <c r="I4" s="35"/>
      <c r="J4" s="35"/>
      <c r="K4" s="35"/>
      <c r="L4" s="18"/>
      <c r="M4" s="55"/>
      <c r="N4" s="3"/>
      <c r="O4" s="35" t="s">
        <v>3</v>
      </c>
      <c r="P4" s="35"/>
      <c r="Q4" s="35"/>
      <c r="R4" s="35"/>
      <c r="S4" s="35"/>
      <c r="T4" s="35"/>
      <c r="U4" s="35"/>
      <c r="V4" s="35"/>
      <c r="W4" s="18"/>
      <c r="Z4" s="55"/>
      <c r="AA4" s="55"/>
      <c r="AB4" s="55"/>
      <c r="AC4" s="55"/>
      <c r="AD4" s="55"/>
      <c r="AE4" s="55"/>
      <c r="AF4" s="55"/>
    </row>
    <row r="5" spans="2:32" ht="15.75" customHeight="1">
      <c r="B5" s="3"/>
      <c r="C5" s="36" t="s">
        <v>4</v>
      </c>
      <c r="D5" s="36"/>
      <c r="E5" s="36"/>
      <c r="F5" s="36"/>
      <c r="G5" s="36"/>
      <c r="H5" s="36"/>
      <c r="I5" s="36"/>
      <c r="J5" s="36"/>
      <c r="K5" s="36"/>
      <c r="L5" s="18"/>
      <c r="M5" s="55"/>
      <c r="N5" s="3"/>
      <c r="O5" s="37" t="s">
        <v>5</v>
      </c>
      <c r="P5" s="37"/>
      <c r="Q5" s="37"/>
      <c r="R5" s="37"/>
      <c r="S5" s="37"/>
      <c r="T5" s="37"/>
      <c r="U5" s="37"/>
      <c r="V5" s="37"/>
      <c r="W5" s="18"/>
      <c r="Z5" s="55"/>
      <c r="AA5" s="55"/>
      <c r="AB5" s="55"/>
      <c r="AC5" s="55"/>
      <c r="AD5" s="55"/>
      <c r="AE5" s="55"/>
      <c r="AF5" s="55"/>
    </row>
    <row r="6" spans="2:32">
      <c r="B6" s="3"/>
      <c r="C6" s="1"/>
      <c r="D6" s="1"/>
      <c r="E6" s="1"/>
      <c r="F6" s="1"/>
      <c r="G6" s="1"/>
      <c r="H6" s="1"/>
      <c r="I6" s="38"/>
      <c r="J6" s="38"/>
      <c r="K6" s="1"/>
      <c r="L6" s="18"/>
      <c r="M6" s="55"/>
      <c r="N6" s="3"/>
      <c r="O6" s="1"/>
      <c r="P6" s="1"/>
      <c r="Q6" s="1"/>
      <c r="R6" s="1"/>
      <c r="S6" s="1"/>
      <c r="T6" s="1"/>
      <c r="U6" s="1"/>
      <c r="V6" s="1"/>
      <c r="W6" s="18"/>
      <c r="Z6" s="55"/>
      <c r="AA6" s="55"/>
      <c r="AB6" s="55"/>
      <c r="AC6" s="55"/>
      <c r="AD6" s="55"/>
      <c r="AE6" s="55"/>
      <c r="AF6" s="55"/>
    </row>
    <row r="7" spans="2:32">
      <c r="B7" s="3"/>
      <c r="C7" s="1" t="s">
        <v>6</v>
      </c>
      <c r="D7" s="1" t="s">
        <v>7</v>
      </c>
      <c r="E7" s="1">
        <v>2</v>
      </c>
      <c r="F7" s="1"/>
      <c r="G7" s="1"/>
      <c r="H7" s="5" t="s">
        <v>8</v>
      </c>
      <c r="I7" s="39" t="s">
        <v>7</v>
      </c>
      <c r="J7" s="39"/>
      <c r="K7" s="19">
        <f ca="1">NOW()</f>
        <v>45805.704785995367</v>
      </c>
      <c r="L7" s="18"/>
      <c r="M7" s="55"/>
      <c r="N7" s="3"/>
      <c r="O7" s="1" t="s">
        <v>9</v>
      </c>
      <c r="P7" s="1" t="s">
        <v>7</v>
      </c>
      <c r="Q7" s="1">
        <f>IF(E7=0," ",E7)</f>
        <v>2</v>
      </c>
      <c r="R7" s="1"/>
      <c r="S7" s="1"/>
      <c r="T7" s="7" t="s">
        <v>8</v>
      </c>
      <c r="U7" s="1" t="s">
        <v>7</v>
      </c>
      <c r="V7" s="19">
        <f ca="1">K7</f>
        <v>45805.704785995367</v>
      </c>
      <c r="W7" s="18"/>
      <c r="Z7" s="55"/>
      <c r="AA7" s="55"/>
      <c r="AB7" s="55"/>
      <c r="AC7" s="55"/>
      <c r="AD7" s="55"/>
      <c r="AE7" s="55"/>
      <c r="AF7" s="55"/>
    </row>
    <row r="8" spans="2:32" ht="18" customHeight="1">
      <c r="B8" s="3"/>
      <c r="C8" s="6" t="s">
        <v>10</v>
      </c>
      <c r="D8" s="6" t="s">
        <v>7</v>
      </c>
      <c r="E8" s="6">
        <v>102</v>
      </c>
      <c r="F8" s="6"/>
      <c r="G8" s="6"/>
      <c r="H8" s="7"/>
      <c r="I8" s="40"/>
      <c r="J8" s="40"/>
      <c r="K8" s="20"/>
      <c r="L8" s="18"/>
      <c r="M8" s="55"/>
      <c r="N8" s="3"/>
      <c r="O8" s="6" t="s">
        <v>10</v>
      </c>
      <c r="P8" s="6" t="s">
        <v>7</v>
      </c>
      <c r="Q8" s="1">
        <f>IF(E8=0," ",E8)</f>
        <v>102</v>
      </c>
      <c r="R8" s="1"/>
      <c r="S8" s="1"/>
      <c r="T8" s="7"/>
      <c r="U8" s="6"/>
      <c r="V8" s="20" t="str">
        <f>IF(K8=0," ",K8)</f>
        <v/>
      </c>
      <c r="W8" s="18"/>
      <c r="Z8" s="55"/>
      <c r="AA8" s="55"/>
      <c r="AB8" s="55"/>
      <c r="AC8" s="55"/>
      <c r="AD8" s="55"/>
      <c r="AE8" s="55"/>
      <c r="AF8" s="55"/>
    </row>
    <row r="9" spans="2:32" ht="15" customHeight="1">
      <c r="B9" s="3"/>
      <c r="C9" s="6" t="s">
        <v>11</v>
      </c>
      <c r="D9" s="6" t="s">
        <v>7</v>
      </c>
      <c r="E9" s="6">
        <v>3123456789</v>
      </c>
      <c r="F9" s="6"/>
      <c r="G9" s="6"/>
      <c r="H9" s="7"/>
      <c r="I9" s="40"/>
      <c r="J9" s="40"/>
      <c r="K9" s="20"/>
      <c r="L9" s="18"/>
      <c r="M9" s="55"/>
      <c r="N9" s="3"/>
      <c r="O9" s="6" t="str">
        <f>C9</f>
        <v>Contact</v>
      </c>
      <c r="P9" s="6" t="s">
        <v>7</v>
      </c>
      <c r="Q9" s="1">
        <f>E9</f>
        <v>3123456789</v>
      </c>
      <c r="R9" s="1"/>
      <c r="S9" s="1"/>
      <c r="T9" s="7"/>
      <c r="U9" s="6"/>
      <c r="V9" s="20"/>
      <c r="W9" s="18"/>
      <c r="Z9" s="55"/>
      <c r="AA9" s="55"/>
      <c r="AB9" s="55"/>
      <c r="AC9" s="55"/>
      <c r="AD9" s="55"/>
      <c r="AE9" s="55"/>
      <c r="AF9" s="55"/>
    </row>
    <row r="10" spans="2:32">
      <c r="B10" s="3"/>
      <c r="C10" s="1" t="s">
        <v>12</v>
      </c>
      <c r="D10" s="1" t="s">
        <v>7</v>
      </c>
      <c r="E10" s="35" t="s">
        <v>106</v>
      </c>
      <c r="F10" s="35"/>
      <c r="G10" s="35"/>
      <c r="H10" s="35"/>
      <c r="I10" s="35"/>
      <c r="J10" s="35"/>
      <c r="K10" s="35"/>
      <c r="L10" s="18"/>
      <c r="M10" s="55"/>
      <c r="N10" s="3"/>
      <c r="O10" s="1" t="s">
        <v>12</v>
      </c>
      <c r="P10" s="1" t="s">
        <v>7</v>
      </c>
      <c r="Q10" s="35" t="str">
        <f>IF(E10=0," ",E10)</f>
        <v>Nabia</v>
      </c>
      <c r="R10" s="35"/>
      <c r="S10" s="35"/>
      <c r="T10" s="35"/>
      <c r="U10" s="35"/>
      <c r="V10" s="35"/>
      <c r="W10" s="18"/>
      <c r="Z10" s="55"/>
      <c r="AA10" s="55"/>
      <c r="AB10" s="55"/>
      <c r="AC10" s="55"/>
      <c r="AD10" s="55"/>
      <c r="AE10" s="55"/>
      <c r="AF10" s="55"/>
    </row>
    <row r="11" spans="2:32">
      <c r="B11" s="3"/>
      <c r="C11" s="1" t="s">
        <v>14</v>
      </c>
      <c r="D11" s="1" t="s">
        <v>7</v>
      </c>
      <c r="E11" s="35" t="s">
        <v>107</v>
      </c>
      <c r="F11" s="35"/>
      <c r="G11" s="35"/>
      <c r="H11" s="35"/>
      <c r="I11" s="35"/>
      <c r="J11" s="35"/>
      <c r="K11" s="35"/>
      <c r="L11" s="18"/>
      <c r="M11" s="55"/>
      <c r="N11" s="3"/>
      <c r="O11" s="1" t="s">
        <v>14</v>
      </c>
      <c r="P11" s="1" t="s">
        <v>7</v>
      </c>
      <c r="Q11" s="35" t="str">
        <f t="shared" ref="Q11" si="0">IF(E11=0," ",E11)</f>
        <v>House no 123, Block abc ,Islamabad</v>
      </c>
      <c r="R11" s="35"/>
      <c r="S11" s="35"/>
      <c r="T11" s="35"/>
      <c r="U11" s="35"/>
      <c r="V11" s="35"/>
      <c r="W11" s="18"/>
      <c r="Z11" s="55"/>
      <c r="AA11" s="55"/>
      <c r="AB11" s="55"/>
      <c r="AC11" s="55"/>
      <c r="AD11" s="55"/>
      <c r="AE11" s="55"/>
      <c r="AF11" s="55"/>
    </row>
    <row r="12" spans="2:32">
      <c r="B12" s="3"/>
      <c r="C12" s="1"/>
      <c r="D12" s="1"/>
      <c r="E12" s="35"/>
      <c r="F12" s="35"/>
      <c r="G12" s="35"/>
      <c r="H12" s="35"/>
      <c r="I12" s="35"/>
      <c r="J12" s="35"/>
      <c r="K12" s="35"/>
      <c r="L12" s="18"/>
      <c r="M12" s="55"/>
      <c r="N12" s="3"/>
      <c r="O12" s="1"/>
      <c r="P12" s="1"/>
      <c r="Q12" s="35"/>
      <c r="R12" s="35"/>
      <c r="S12" s="35"/>
      <c r="T12" s="35"/>
      <c r="U12" s="35"/>
      <c r="V12" s="35"/>
      <c r="W12" s="18"/>
      <c r="Z12" s="55"/>
      <c r="AA12" s="55"/>
      <c r="AB12" s="55"/>
      <c r="AC12" s="55"/>
      <c r="AD12" s="55"/>
      <c r="AE12" s="55"/>
      <c r="AF12" s="55"/>
    </row>
    <row r="13" spans="2:32">
      <c r="B13" s="3"/>
      <c r="C13" s="1"/>
      <c r="D13" s="1"/>
      <c r="E13" s="1"/>
      <c r="F13" s="1"/>
      <c r="G13" s="1"/>
      <c r="H13" s="1"/>
      <c r="I13" s="1"/>
      <c r="J13" s="1"/>
      <c r="K13" s="1"/>
      <c r="L13" s="18"/>
      <c r="M13" s="55"/>
      <c r="N13" s="3"/>
      <c r="O13" s="1"/>
      <c r="P13" s="1"/>
      <c r="Q13" s="1"/>
      <c r="R13" s="1"/>
      <c r="S13" s="1"/>
      <c r="T13" s="1"/>
      <c r="U13" s="1"/>
      <c r="V13" s="1"/>
      <c r="W13" s="18"/>
      <c r="Z13" s="55"/>
      <c r="AA13" s="55"/>
      <c r="AB13" s="55"/>
      <c r="AC13" s="55"/>
      <c r="AD13" s="55"/>
      <c r="AE13" s="55"/>
      <c r="AF13" s="55"/>
    </row>
    <row r="14" spans="2:32" ht="18.75" customHeight="1">
      <c r="B14" s="3"/>
      <c r="C14" s="41" t="s">
        <v>16</v>
      </c>
      <c r="D14" s="41"/>
      <c r="E14" s="41"/>
      <c r="F14" s="8" t="s">
        <v>17</v>
      </c>
      <c r="G14" s="8" t="s">
        <v>18</v>
      </c>
      <c r="H14" s="42" t="s">
        <v>19</v>
      </c>
      <c r="I14" s="43"/>
      <c r="J14" s="42" t="s">
        <v>20</v>
      </c>
      <c r="K14" s="43"/>
      <c r="L14" s="18"/>
      <c r="M14" s="55"/>
      <c r="N14" s="3"/>
      <c r="O14" s="44" t="s">
        <v>16</v>
      </c>
      <c r="P14" s="44"/>
      <c r="Q14" s="44"/>
      <c r="R14" s="21" t="s">
        <v>17</v>
      </c>
      <c r="S14" s="21" t="s">
        <v>18</v>
      </c>
      <c r="T14" s="44" t="s">
        <v>19</v>
      </c>
      <c r="U14" s="44"/>
      <c r="V14" s="21" t="s">
        <v>20</v>
      </c>
      <c r="W14" s="18"/>
      <c r="Z14" s="55"/>
      <c r="AA14" s="55"/>
      <c r="AB14" s="55"/>
      <c r="AC14" s="55"/>
      <c r="AD14" s="55"/>
      <c r="AE14" s="55"/>
      <c r="AF14" s="55"/>
    </row>
    <row r="15" spans="2:32">
      <c r="B15" s="3"/>
      <c r="C15" s="36" t="s">
        <v>23</v>
      </c>
      <c r="D15" s="36"/>
      <c r="E15" s="36"/>
      <c r="F15" s="9" t="s">
        <v>22</v>
      </c>
      <c r="G15" s="9">
        <v>12</v>
      </c>
      <c r="H15" s="45">
        <v>500</v>
      </c>
      <c r="I15" s="46"/>
      <c r="J15" s="47">
        <f>G15*H15</f>
        <v>6000</v>
      </c>
      <c r="K15" s="48"/>
      <c r="L15" s="18"/>
      <c r="M15" s="55"/>
      <c r="N15" s="3"/>
      <c r="O15" s="36" t="str">
        <f t="shared" ref="O15" si="1">IF(C15=0,"",C15)</f>
        <v>Hard Disk</v>
      </c>
      <c r="P15" s="36"/>
      <c r="Q15" s="36"/>
      <c r="R15" s="9" t="str">
        <f t="shared" ref="R15:R28" si="2">IF(F15=0,"",F15)</f>
        <v>Nos.</v>
      </c>
      <c r="S15" s="9">
        <f t="shared" ref="S15:S28" si="3">IF(G15=0,"",G15)</f>
        <v>12</v>
      </c>
      <c r="T15" s="49">
        <f>IF(H15=0,"",H15)</f>
        <v>500</v>
      </c>
      <c r="U15" s="49"/>
      <c r="V15" s="9">
        <f t="shared" ref="V15:V28" si="4">IF(J15=0,"",J15)</f>
        <v>6000</v>
      </c>
      <c r="W15" s="18"/>
      <c r="Z15" s="55"/>
      <c r="AA15" s="55"/>
      <c r="AB15" s="55"/>
      <c r="AC15" s="55"/>
      <c r="AD15" s="55"/>
      <c r="AE15" s="55"/>
      <c r="AF15" s="55"/>
    </row>
    <row r="16" spans="2:32">
      <c r="B16" s="3"/>
      <c r="C16" s="36" t="s">
        <v>96</v>
      </c>
      <c r="D16" s="36"/>
      <c r="E16" s="36"/>
      <c r="F16" s="9" t="s">
        <v>24</v>
      </c>
      <c r="G16" s="9">
        <v>5</v>
      </c>
      <c r="H16" s="50">
        <v>1500</v>
      </c>
      <c r="I16" s="51"/>
      <c r="J16" s="47">
        <f>G16*H16</f>
        <v>7500</v>
      </c>
      <c r="K16" s="48"/>
      <c r="L16" s="18"/>
      <c r="M16" s="55"/>
      <c r="N16" s="3"/>
      <c r="O16" s="36" t="str">
        <f t="shared" ref="O16:O28" si="5">IF(C16=0,"",C16)</f>
        <v>Mother Board</v>
      </c>
      <c r="P16" s="36"/>
      <c r="Q16" s="36"/>
      <c r="R16" s="9" t="str">
        <f t="shared" si="2"/>
        <v>Pcs</v>
      </c>
      <c r="S16" s="9">
        <f t="shared" si="3"/>
        <v>5</v>
      </c>
      <c r="T16" s="49">
        <f t="shared" ref="T16:T28" si="6">IF(H16=0,"",H16)</f>
        <v>1500</v>
      </c>
      <c r="U16" s="49"/>
      <c r="V16" s="9">
        <f t="shared" si="4"/>
        <v>7500</v>
      </c>
      <c r="W16" s="18"/>
      <c r="Z16" s="55"/>
      <c r="AA16" s="55"/>
      <c r="AB16" s="55"/>
      <c r="AC16" s="55"/>
      <c r="AD16" s="55"/>
      <c r="AE16" s="55"/>
      <c r="AF16" s="55"/>
    </row>
    <row r="17" spans="2:32">
      <c r="B17" s="3"/>
      <c r="C17" s="36" t="s">
        <v>26</v>
      </c>
      <c r="D17" s="36"/>
      <c r="E17" s="36"/>
      <c r="F17" s="9" t="s">
        <v>22</v>
      </c>
      <c r="G17" s="9">
        <v>7</v>
      </c>
      <c r="H17" s="50">
        <v>3500</v>
      </c>
      <c r="I17" s="51"/>
      <c r="J17" s="47">
        <f>G17*H17</f>
        <v>24500</v>
      </c>
      <c r="K17" s="48"/>
      <c r="L17" s="18"/>
      <c r="M17" s="55"/>
      <c r="N17" s="3"/>
      <c r="O17" s="36" t="str">
        <f t="shared" si="5"/>
        <v>Keyboard</v>
      </c>
      <c r="P17" s="36"/>
      <c r="Q17" s="36"/>
      <c r="R17" s="9" t="str">
        <f t="shared" si="2"/>
        <v>Nos.</v>
      </c>
      <c r="S17" s="9">
        <f t="shared" si="3"/>
        <v>7</v>
      </c>
      <c r="T17" s="49">
        <f t="shared" si="6"/>
        <v>3500</v>
      </c>
      <c r="U17" s="49"/>
      <c r="V17" s="9">
        <f t="shared" si="4"/>
        <v>24500</v>
      </c>
      <c r="W17" s="18"/>
      <c r="Z17" s="55"/>
      <c r="AA17" s="55"/>
      <c r="AB17" s="55"/>
      <c r="AC17" s="55"/>
      <c r="AD17" s="55"/>
      <c r="AE17" s="55"/>
      <c r="AF17" s="55"/>
    </row>
    <row r="18" spans="2:32">
      <c r="B18" s="3"/>
      <c r="C18" s="36" t="s">
        <v>97</v>
      </c>
      <c r="D18" s="36"/>
      <c r="E18" s="36"/>
      <c r="F18" s="9" t="s">
        <v>24</v>
      </c>
      <c r="G18" s="9">
        <v>10</v>
      </c>
      <c r="H18" s="47">
        <v>4200</v>
      </c>
      <c r="I18" s="48"/>
      <c r="J18" s="47">
        <f>G18*H18</f>
        <v>42000</v>
      </c>
      <c r="K18" s="48"/>
      <c r="L18" s="18"/>
      <c r="M18" s="55"/>
      <c r="N18" s="3"/>
      <c r="O18" s="36" t="str">
        <f t="shared" si="5"/>
        <v>CPU</v>
      </c>
      <c r="P18" s="36"/>
      <c r="Q18" s="36"/>
      <c r="R18" s="9" t="str">
        <f t="shared" si="2"/>
        <v>Pcs</v>
      </c>
      <c r="S18" s="9">
        <f t="shared" si="3"/>
        <v>10</v>
      </c>
      <c r="T18" s="49">
        <f t="shared" si="6"/>
        <v>4200</v>
      </c>
      <c r="U18" s="49"/>
      <c r="V18" s="9">
        <f t="shared" si="4"/>
        <v>42000</v>
      </c>
      <c r="W18" s="18"/>
      <c r="Z18" s="55"/>
      <c r="AA18" s="55"/>
      <c r="AB18" s="55"/>
      <c r="AC18" s="55"/>
      <c r="AD18" s="55"/>
      <c r="AE18" s="55"/>
      <c r="AF18" s="55"/>
    </row>
    <row r="19" spans="2:32">
      <c r="B19" s="3"/>
      <c r="C19" s="36"/>
      <c r="D19" s="36"/>
      <c r="E19" s="36"/>
      <c r="F19" s="9"/>
      <c r="G19" s="9"/>
      <c r="H19" s="47"/>
      <c r="I19" s="48"/>
      <c r="J19" s="47">
        <f>G19*H19</f>
        <v>0</v>
      </c>
      <c r="K19" s="48"/>
      <c r="L19" s="18"/>
      <c r="M19" s="55"/>
      <c r="N19" s="3"/>
      <c r="O19" s="36" t="str">
        <f t="shared" si="5"/>
        <v/>
      </c>
      <c r="P19" s="36"/>
      <c r="Q19" s="36"/>
      <c r="R19" s="9" t="str">
        <f t="shared" si="2"/>
        <v/>
      </c>
      <c r="S19" s="9" t="str">
        <f t="shared" si="3"/>
        <v/>
      </c>
      <c r="T19" s="49" t="str">
        <f t="shared" si="6"/>
        <v/>
      </c>
      <c r="U19" s="49"/>
      <c r="V19" s="9" t="str">
        <f t="shared" si="4"/>
        <v/>
      </c>
      <c r="W19" s="18"/>
      <c r="Z19" s="55"/>
      <c r="AA19" s="55"/>
      <c r="AB19" s="55"/>
      <c r="AC19" s="55"/>
      <c r="AD19" s="55"/>
      <c r="AE19" s="55"/>
      <c r="AF19" s="55"/>
    </row>
    <row r="20" spans="2:32">
      <c r="B20" s="3"/>
      <c r="C20" s="36"/>
      <c r="D20" s="36"/>
      <c r="E20" s="36"/>
      <c r="F20" s="9"/>
      <c r="G20" s="9"/>
      <c r="H20" s="47"/>
      <c r="I20" s="48"/>
      <c r="J20" s="47">
        <f>G20*H20</f>
        <v>0</v>
      </c>
      <c r="K20" s="48"/>
      <c r="L20" s="18"/>
      <c r="M20" s="55"/>
      <c r="N20" s="3"/>
      <c r="O20" s="36" t="str">
        <f t="shared" si="5"/>
        <v/>
      </c>
      <c r="P20" s="36"/>
      <c r="Q20" s="36"/>
      <c r="R20" s="9" t="str">
        <f t="shared" si="2"/>
        <v/>
      </c>
      <c r="S20" s="9" t="str">
        <f t="shared" si="3"/>
        <v/>
      </c>
      <c r="T20" s="49" t="str">
        <f t="shared" si="6"/>
        <v/>
      </c>
      <c r="U20" s="49"/>
      <c r="V20" s="9" t="str">
        <f t="shared" si="4"/>
        <v/>
      </c>
      <c r="W20" s="18"/>
      <c r="Z20" s="55"/>
      <c r="AA20" s="55"/>
      <c r="AB20" s="55"/>
      <c r="AC20" s="55"/>
      <c r="AD20" s="55"/>
      <c r="AE20" s="55"/>
      <c r="AF20" s="55"/>
    </row>
    <row r="21" spans="2:32">
      <c r="B21" s="3"/>
      <c r="C21" s="36"/>
      <c r="D21" s="36"/>
      <c r="E21" s="36"/>
      <c r="F21" s="9"/>
      <c r="G21" s="9"/>
      <c r="H21" s="47"/>
      <c r="I21" s="48"/>
      <c r="J21" s="47">
        <f>G21*H21</f>
        <v>0</v>
      </c>
      <c r="K21" s="48"/>
      <c r="L21" s="18"/>
      <c r="M21" s="55"/>
      <c r="N21" s="3"/>
      <c r="O21" s="36" t="str">
        <f t="shared" si="5"/>
        <v/>
      </c>
      <c r="P21" s="36"/>
      <c r="Q21" s="36"/>
      <c r="R21" s="9" t="str">
        <f t="shared" si="2"/>
        <v/>
      </c>
      <c r="S21" s="9" t="str">
        <f t="shared" si="3"/>
        <v/>
      </c>
      <c r="T21" s="49" t="str">
        <f t="shared" si="6"/>
        <v/>
      </c>
      <c r="U21" s="49"/>
      <c r="V21" s="9" t="str">
        <f t="shared" si="4"/>
        <v/>
      </c>
      <c r="W21" s="18"/>
      <c r="Z21" s="55"/>
      <c r="AA21" s="55"/>
      <c r="AB21" s="55"/>
      <c r="AC21" s="55"/>
      <c r="AD21" s="55"/>
      <c r="AE21" s="55"/>
      <c r="AF21" s="55"/>
    </row>
    <row r="22" spans="2:32">
      <c r="B22" s="3"/>
      <c r="C22" s="36"/>
      <c r="D22" s="36"/>
      <c r="E22" s="36"/>
      <c r="F22" s="9"/>
      <c r="G22" s="9"/>
      <c r="H22" s="47"/>
      <c r="I22" s="48"/>
      <c r="J22" s="47">
        <f>G22*H22</f>
        <v>0</v>
      </c>
      <c r="K22" s="48"/>
      <c r="L22" s="18"/>
      <c r="M22" s="55"/>
      <c r="N22" s="3"/>
      <c r="O22" s="36" t="str">
        <f t="shared" si="5"/>
        <v/>
      </c>
      <c r="P22" s="36"/>
      <c r="Q22" s="36"/>
      <c r="R22" s="9" t="str">
        <f t="shared" si="2"/>
        <v/>
      </c>
      <c r="S22" s="9" t="str">
        <f t="shared" si="3"/>
        <v/>
      </c>
      <c r="T22" s="49" t="str">
        <f t="shared" si="6"/>
        <v/>
      </c>
      <c r="U22" s="49"/>
      <c r="V22" s="9" t="str">
        <f t="shared" si="4"/>
        <v/>
      </c>
      <c r="W22" s="18"/>
      <c r="Z22" s="55"/>
      <c r="AA22" s="55"/>
      <c r="AB22" s="55"/>
      <c r="AC22" s="55"/>
      <c r="AD22" s="55"/>
      <c r="AE22" s="55"/>
      <c r="AF22" s="55"/>
    </row>
    <row r="23" spans="2:32">
      <c r="B23" s="3"/>
      <c r="C23" s="36"/>
      <c r="D23" s="36"/>
      <c r="E23" s="36"/>
      <c r="F23" s="9"/>
      <c r="G23" s="9"/>
      <c r="H23" s="47"/>
      <c r="I23" s="48"/>
      <c r="J23" s="47">
        <f>G23*H23</f>
        <v>0</v>
      </c>
      <c r="K23" s="48"/>
      <c r="L23" s="18"/>
      <c r="M23" s="55"/>
      <c r="N23" s="3"/>
      <c r="O23" s="36" t="str">
        <f t="shared" si="5"/>
        <v/>
      </c>
      <c r="P23" s="36"/>
      <c r="Q23" s="36"/>
      <c r="R23" s="9" t="str">
        <f t="shared" si="2"/>
        <v/>
      </c>
      <c r="S23" s="9" t="str">
        <f t="shared" si="3"/>
        <v/>
      </c>
      <c r="T23" s="49" t="str">
        <f t="shared" si="6"/>
        <v/>
      </c>
      <c r="U23" s="49"/>
      <c r="V23" s="9" t="str">
        <f t="shared" si="4"/>
        <v/>
      </c>
      <c r="W23" s="18"/>
      <c r="Z23" s="55"/>
      <c r="AA23" s="55"/>
      <c r="AB23" s="55"/>
      <c r="AC23" s="55"/>
      <c r="AD23" s="55"/>
      <c r="AE23" s="55"/>
      <c r="AF23" s="55"/>
    </row>
    <row r="24" spans="2:32">
      <c r="B24" s="3"/>
      <c r="C24" s="36"/>
      <c r="D24" s="36"/>
      <c r="E24" s="36"/>
      <c r="F24" s="9"/>
      <c r="G24" s="9"/>
      <c r="H24" s="47"/>
      <c r="I24" s="48"/>
      <c r="J24" s="47">
        <f>G24*H24</f>
        <v>0</v>
      </c>
      <c r="K24" s="48"/>
      <c r="L24" s="18"/>
      <c r="M24" s="55"/>
      <c r="N24" s="3"/>
      <c r="O24" s="36" t="str">
        <f t="shared" si="5"/>
        <v/>
      </c>
      <c r="P24" s="36"/>
      <c r="Q24" s="36"/>
      <c r="R24" s="9" t="str">
        <f t="shared" si="2"/>
        <v/>
      </c>
      <c r="S24" s="9" t="str">
        <f t="shared" si="3"/>
        <v/>
      </c>
      <c r="T24" s="49" t="str">
        <f t="shared" si="6"/>
        <v/>
      </c>
      <c r="U24" s="49"/>
      <c r="V24" s="9" t="str">
        <f t="shared" si="4"/>
        <v/>
      </c>
      <c r="W24" s="18"/>
      <c r="Z24" s="55"/>
      <c r="AA24" s="55"/>
      <c r="AB24" s="55"/>
      <c r="AC24" s="55"/>
      <c r="AD24" s="55"/>
      <c r="AE24" s="55"/>
      <c r="AF24" s="55"/>
    </row>
    <row r="25" spans="2:32">
      <c r="B25" s="3"/>
      <c r="C25" s="36"/>
      <c r="D25" s="36"/>
      <c r="E25" s="36"/>
      <c r="F25" s="9"/>
      <c r="G25" s="9"/>
      <c r="H25" s="47"/>
      <c r="I25" s="48"/>
      <c r="J25" s="47" t="str">
        <f t="shared" ref="J25:J28" si="7">IF(G25*H25=0,"",G25*H25)</f>
        <v/>
      </c>
      <c r="K25" s="48"/>
      <c r="L25" s="18"/>
      <c r="M25" s="55"/>
      <c r="N25" s="3"/>
      <c r="O25" s="36" t="str">
        <f t="shared" si="5"/>
        <v/>
      </c>
      <c r="P25" s="36"/>
      <c r="Q25" s="36"/>
      <c r="R25" s="9"/>
      <c r="S25" s="9" t="str">
        <f t="shared" si="3"/>
        <v/>
      </c>
      <c r="T25" s="49" t="str">
        <f t="shared" si="6"/>
        <v/>
      </c>
      <c r="U25" s="49"/>
      <c r="V25" s="9" t="str">
        <f t="shared" si="4"/>
        <v/>
      </c>
      <c r="W25" s="18"/>
      <c r="Z25" s="55"/>
      <c r="AA25" s="55"/>
      <c r="AB25" s="55"/>
      <c r="AC25" s="55"/>
      <c r="AD25" s="55"/>
      <c r="AE25" s="55"/>
      <c r="AF25" s="55"/>
    </row>
    <row r="26" spans="2:32">
      <c r="B26" s="3"/>
      <c r="C26" s="36"/>
      <c r="D26" s="36"/>
      <c r="E26" s="36"/>
      <c r="F26" s="9"/>
      <c r="G26" s="9"/>
      <c r="H26" s="47"/>
      <c r="I26" s="48"/>
      <c r="J26" s="47" t="str">
        <f t="shared" si="7"/>
        <v/>
      </c>
      <c r="K26" s="48"/>
      <c r="L26" s="18"/>
      <c r="M26" s="55"/>
      <c r="N26" s="3"/>
      <c r="O26" s="36" t="str">
        <f t="shared" si="5"/>
        <v/>
      </c>
      <c r="P26" s="36"/>
      <c r="Q26" s="36"/>
      <c r="R26" s="9" t="str">
        <f t="shared" si="2"/>
        <v/>
      </c>
      <c r="S26" s="9" t="str">
        <f t="shared" si="3"/>
        <v/>
      </c>
      <c r="T26" s="49" t="str">
        <f t="shared" si="6"/>
        <v/>
      </c>
      <c r="U26" s="49"/>
      <c r="V26" s="9" t="str">
        <f t="shared" si="4"/>
        <v/>
      </c>
      <c r="W26" s="18"/>
      <c r="Z26" s="55"/>
      <c r="AA26" s="55"/>
      <c r="AB26" s="55"/>
      <c r="AC26" s="55"/>
      <c r="AD26" s="55"/>
      <c r="AE26" s="55"/>
      <c r="AF26" s="55"/>
    </row>
    <row r="27" spans="2:32">
      <c r="B27" s="3"/>
      <c r="C27" s="36"/>
      <c r="D27" s="36"/>
      <c r="E27" s="36"/>
      <c r="F27" s="9"/>
      <c r="G27" s="9"/>
      <c r="H27" s="47"/>
      <c r="I27" s="48"/>
      <c r="J27" s="47" t="str">
        <f t="shared" si="7"/>
        <v/>
      </c>
      <c r="K27" s="48"/>
      <c r="L27" s="18"/>
      <c r="M27" s="55"/>
      <c r="N27" s="3"/>
      <c r="O27" s="36" t="str">
        <f t="shared" si="5"/>
        <v/>
      </c>
      <c r="P27" s="36"/>
      <c r="Q27" s="36"/>
      <c r="R27" s="9" t="str">
        <f t="shared" si="2"/>
        <v/>
      </c>
      <c r="S27" s="9" t="str">
        <f t="shared" si="3"/>
        <v/>
      </c>
      <c r="T27" s="49" t="str">
        <f t="shared" si="6"/>
        <v/>
      </c>
      <c r="U27" s="49"/>
      <c r="V27" s="9" t="str">
        <f t="shared" si="4"/>
        <v/>
      </c>
      <c r="W27" s="18"/>
      <c r="Z27" s="55"/>
      <c r="AA27" s="55"/>
      <c r="AB27" s="55"/>
      <c r="AC27" s="55"/>
      <c r="AD27" s="55"/>
      <c r="AE27" s="55"/>
      <c r="AF27" s="55"/>
    </row>
    <row r="28" spans="2:32">
      <c r="B28" s="3"/>
      <c r="C28" s="36"/>
      <c r="D28" s="36"/>
      <c r="E28" s="36"/>
      <c r="F28" s="9"/>
      <c r="G28" s="9"/>
      <c r="H28" s="47"/>
      <c r="I28" s="48"/>
      <c r="J28" s="47" t="str">
        <f t="shared" si="7"/>
        <v/>
      </c>
      <c r="K28" s="48"/>
      <c r="L28" s="18"/>
      <c r="M28" s="55"/>
      <c r="N28" s="3"/>
      <c r="O28" s="36" t="str">
        <f t="shared" si="5"/>
        <v/>
      </c>
      <c r="P28" s="36"/>
      <c r="Q28" s="36"/>
      <c r="R28" s="9" t="str">
        <f t="shared" si="2"/>
        <v/>
      </c>
      <c r="S28" s="9" t="str">
        <f t="shared" si="3"/>
        <v/>
      </c>
      <c r="T28" s="49" t="str">
        <f t="shared" si="6"/>
        <v/>
      </c>
      <c r="U28" s="49"/>
      <c r="V28" s="9" t="str">
        <f t="shared" si="4"/>
        <v/>
      </c>
      <c r="W28" s="18"/>
      <c r="Z28" s="55"/>
      <c r="AA28" s="55"/>
      <c r="AB28" s="55"/>
      <c r="AC28" s="55"/>
      <c r="AD28" s="55"/>
      <c r="AE28" s="55"/>
      <c r="AF28" s="55"/>
    </row>
    <row r="29" spans="2:32">
      <c r="B29" s="3"/>
      <c r="C29" s="10" t="s">
        <v>27</v>
      </c>
      <c r="D29" s="1" t="s">
        <v>7</v>
      </c>
      <c r="E29" s="1"/>
      <c r="F29" s="1"/>
      <c r="G29" s="1"/>
      <c r="H29" s="1"/>
      <c r="I29" s="1"/>
      <c r="J29" s="1"/>
      <c r="K29" s="1"/>
      <c r="L29" s="18"/>
      <c r="M29" s="55"/>
      <c r="N29" s="3"/>
      <c r="O29" s="10" t="s">
        <v>27</v>
      </c>
      <c r="P29" s="1" t="s">
        <v>7</v>
      </c>
      <c r="Q29" s="1"/>
      <c r="R29" s="1"/>
      <c r="S29" s="1"/>
      <c r="T29" s="1"/>
      <c r="U29" s="1"/>
      <c r="V29" s="1"/>
      <c r="W29" s="18"/>
      <c r="Z29" s="55"/>
      <c r="AA29" s="55"/>
      <c r="AB29" s="55"/>
      <c r="AC29" s="55"/>
      <c r="AD29" s="55"/>
      <c r="AE29" s="55"/>
      <c r="AF29" s="55"/>
    </row>
    <row r="30" spans="2:32">
      <c r="B30" s="3"/>
      <c r="C30" s="1"/>
      <c r="D30" s="1"/>
      <c r="E30" s="1"/>
      <c r="F30" s="1"/>
      <c r="G30" s="1"/>
      <c r="H30" s="1"/>
      <c r="I30" s="1"/>
      <c r="J30" s="1"/>
      <c r="K30" s="1"/>
      <c r="L30" s="18"/>
      <c r="M30" s="55"/>
      <c r="N30" s="3"/>
      <c r="O30" s="1"/>
      <c r="P30" s="1"/>
      <c r="Q30" s="1"/>
      <c r="R30" s="1"/>
      <c r="S30" s="1"/>
      <c r="T30" s="1"/>
      <c r="U30" s="1"/>
      <c r="V30" s="1"/>
      <c r="W30" s="18"/>
      <c r="Z30" s="55"/>
      <c r="AA30" s="55"/>
      <c r="AB30" s="55"/>
      <c r="AC30" s="55"/>
      <c r="AD30" s="55"/>
      <c r="AE30" s="55"/>
      <c r="AF30" s="55"/>
    </row>
    <row r="31" spans="2:32">
      <c r="B31" s="3"/>
      <c r="C31" s="11" t="s">
        <v>28</v>
      </c>
      <c r="D31" s="1"/>
      <c r="E31" s="1"/>
      <c r="F31" s="1"/>
      <c r="G31" s="36" t="s">
        <v>29</v>
      </c>
      <c r="H31" s="36"/>
      <c r="I31" s="22" t="s">
        <v>7</v>
      </c>
      <c r="J31" s="22"/>
      <c r="K31" s="9">
        <v>66000</v>
      </c>
      <c r="L31" s="18"/>
      <c r="M31" s="55"/>
      <c r="N31" s="3"/>
      <c r="O31" s="10" t="s">
        <v>28</v>
      </c>
      <c r="P31" s="1"/>
      <c r="Q31" s="1"/>
      <c r="R31" s="1"/>
      <c r="S31" s="36" t="s">
        <v>29</v>
      </c>
      <c r="T31" s="36"/>
      <c r="U31" s="9" t="s">
        <v>7</v>
      </c>
      <c r="V31" s="9">
        <f>K31</f>
        <v>66000</v>
      </c>
      <c r="W31" s="18"/>
      <c r="Z31" s="55"/>
      <c r="AA31" s="55"/>
      <c r="AB31" s="55"/>
      <c r="AC31" s="55"/>
      <c r="AD31" s="55"/>
      <c r="AE31" s="55"/>
      <c r="AF31" s="55"/>
    </row>
    <row r="32" spans="2:32">
      <c r="B32" s="3"/>
      <c r="C32" s="52" t="s">
        <v>30</v>
      </c>
      <c r="D32" s="52"/>
      <c r="E32" s="52"/>
      <c r="F32" s="52"/>
      <c r="G32" s="36" t="s">
        <v>31</v>
      </c>
      <c r="H32" s="36"/>
      <c r="I32" s="23" t="s">
        <v>7</v>
      </c>
      <c r="J32" s="23"/>
      <c r="K32" s="9">
        <v>6600</v>
      </c>
      <c r="L32" s="18"/>
      <c r="M32" s="55"/>
      <c r="N32" s="3"/>
      <c r="O32" s="52" t="s">
        <v>30</v>
      </c>
      <c r="P32" s="52"/>
      <c r="Q32" s="52"/>
      <c r="R32" s="52"/>
      <c r="S32" s="36" t="s">
        <v>31</v>
      </c>
      <c r="T32" s="36"/>
      <c r="U32" s="9" t="s">
        <v>7</v>
      </c>
      <c r="V32" s="9">
        <f t="shared" ref="V32:V34" si="8">K32</f>
        <v>6600</v>
      </c>
      <c r="W32" s="18"/>
      <c r="Z32" s="55"/>
      <c r="AA32" s="55"/>
      <c r="AB32" s="55"/>
      <c r="AC32" s="55"/>
      <c r="AD32" s="55"/>
      <c r="AE32" s="55"/>
      <c r="AF32" s="55"/>
    </row>
    <row r="33" spans="2:32">
      <c r="B33" s="3"/>
      <c r="C33" s="52" t="s">
        <v>32</v>
      </c>
      <c r="D33" s="52"/>
      <c r="E33" s="52"/>
      <c r="F33" s="1"/>
      <c r="G33" s="12" t="s">
        <v>33</v>
      </c>
      <c r="H33" s="13">
        <v>0.13500000000000001</v>
      </c>
      <c r="I33" s="23" t="s">
        <v>7</v>
      </c>
      <c r="J33" s="23"/>
      <c r="K33" s="9">
        <v>8910</v>
      </c>
      <c r="L33" s="18"/>
      <c r="M33" s="55"/>
      <c r="N33" s="3"/>
      <c r="O33" s="52" t="s">
        <v>32</v>
      </c>
      <c r="P33" s="52"/>
      <c r="Q33" s="52"/>
      <c r="R33" s="1"/>
      <c r="S33" s="27" t="s">
        <v>33</v>
      </c>
      <c r="T33" s="28">
        <v>0.13500000000000001</v>
      </c>
      <c r="U33" s="9" t="s">
        <v>7</v>
      </c>
      <c r="V33" s="9">
        <f t="shared" si="8"/>
        <v>8910</v>
      </c>
      <c r="W33" s="18"/>
      <c r="Z33" s="55"/>
      <c r="AA33" s="55"/>
      <c r="AB33" s="55"/>
      <c r="AC33" s="55"/>
      <c r="AD33" s="55"/>
      <c r="AE33" s="55"/>
      <c r="AF33" s="55"/>
    </row>
    <row r="34" spans="2:32">
      <c r="B34" s="3"/>
      <c r="C34" s="52" t="s">
        <v>34</v>
      </c>
      <c r="D34" s="52"/>
      <c r="E34" s="52"/>
      <c r="F34" s="1"/>
      <c r="G34" s="53" t="s">
        <v>35</v>
      </c>
      <c r="H34" s="54"/>
      <c r="I34" s="24" t="s">
        <v>7</v>
      </c>
      <c r="J34" s="24"/>
      <c r="K34" s="25">
        <v>68310</v>
      </c>
      <c r="L34" s="18"/>
      <c r="M34" s="55"/>
      <c r="N34" s="3"/>
      <c r="O34" s="52" t="s">
        <v>34</v>
      </c>
      <c r="P34" s="52"/>
      <c r="Q34" s="52"/>
      <c r="R34" s="1"/>
      <c r="S34" s="53" t="s">
        <v>35</v>
      </c>
      <c r="T34" s="54"/>
      <c r="U34" s="29" t="s">
        <v>7</v>
      </c>
      <c r="V34" s="29">
        <f t="shared" si="8"/>
        <v>68310</v>
      </c>
      <c r="W34" s="18"/>
      <c r="Z34" s="55"/>
      <c r="AA34" s="55"/>
      <c r="AB34" s="55"/>
      <c r="AC34" s="55"/>
      <c r="AD34" s="55"/>
      <c r="AE34" s="55"/>
      <c r="AF34" s="55"/>
    </row>
    <row r="35" spans="2:32">
      <c r="B35" s="3"/>
      <c r="C35" s="52" t="s">
        <v>36</v>
      </c>
      <c r="D35" s="52"/>
      <c r="E35" s="52"/>
      <c r="F35" s="1"/>
      <c r="G35" s="1"/>
      <c r="H35" s="1"/>
      <c r="I35" s="1"/>
      <c r="J35" s="1"/>
      <c r="K35" s="1"/>
      <c r="L35" s="18"/>
      <c r="M35" s="55"/>
      <c r="N35" s="3"/>
      <c r="O35" s="52" t="str">
        <f>C35</f>
        <v>return charge less 20%</v>
      </c>
      <c r="P35" s="52"/>
      <c r="Q35" s="52"/>
      <c r="R35" s="1"/>
      <c r="S35" s="1"/>
      <c r="T35" s="1"/>
      <c r="U35" s="1"/>
      <c r="V35" s="1"/>
      <c r="W35" s="18"/>
      <c r="Z35" s="55"/>
      <c r="AA35" s="55"/>
      <c r="AB35" s="55"/>
      <c r="AC35" s="55"/>
      <c r="AD35" s="55"/>
      <c r="AE35" s="55"/>
      <c r="AF35" s="55"/>
    </row>
    <row r="36" spans="2:32">
      <c r="B36" s="3"/>
      <c r="C36" s="1"/>
      <c r="D36" s="1"/>
      <c r="E36" s="1"/>
      <c r="F36" s="1"/>
      <c r="G36" s="1"/>
      <c r="H36" s="1"/>
      <c r="I36" s="1"/>
      <c r="J36" s="1"/>
      <c r="K36" s="1"/>
      <c r="L36" s="18"/>
      <c r="M36" s="55"/>
      <c r="N36" s="3"/>
      <c r="O36" s="1"/>
      <c r="P36" s="1"/>
      <c r="Q36" s="1"/>
      <c r="R36" s="1"/>
      <c r="S36" s="1"/>
      <c r="T36" s="1"/>
      <c r="U36" s="1"/>
      <c r="V36" s="1"/>
      <c r="W36" s="18"/>
      <c r="Z36" s="55"/>
      <c r="AA36" s="55"/>
      <c r="AB36" s="55"/>
      <c r="AC36" s="55"/>
      <c r="AD36" s="55"/>
      <c r="AE36" s="55"/>
      <c r="AF36" s="55"/>
    </row>
    <row r="37" spans="2:32">
      <c r="B37" s="3"/>
      <c r="C37" s="1"/>
      <c r="D37" s="1"/>
      <c r="E37" s="1"/>
      <c r="F37" s="1"/>
      <c r="G37" s="1"/>
      <c r="H37" s="1"/>
      <c r="I37" s="1"/>
      <c r="J37" s="1"/>
      <c r="K37" s="1"/>
      <c r="L37" s="18"/>
      <c r="M37" s="55"/>
      <c r="N37" s="3"/>
      <c r="O37" s="1"/>
      <c r="P37" s="1"/>
      <c r="Q37" s="1"/>
      <c r="R37" s="1"/>
      <c r="S37" s="1"/>
      <c r="T37" s="1"/>
      <c r="U37" s="1"/>
      <c r="V37" s="1"/>
      <c r="W37" s="18"/>
      <c r="Z37" s="55"/>
      <c r="AA37" s="55"/>
      <c r="AB37" s="55"/>
      <c r="AC37" s="55"/>
      <c r="AD37" s="55"/>
      <c r="AE37" s="55"/>
      <c r="AF37" s="55"/>
    </row>
    <row r="38" spans="2:32">
      <c r="B38" s="3"/>
      <c r="C38" s="1"/>
      <c r="D38" s="1"/>
      <c r="E38" s="1"/>
      <c r="F38" s="14"/>
      <c r="G38" s="38" t="s">
        <v>37</v>
      </c>
      <c r="H38" s="38"/>
      <c r="I38" s="38"/>
      <c r="J38" s="4"/>
      <c r="K38" s="1"/>
      <c r="L38" s="18"/>
      <c r="M38" s="55"/>
      <c r="N38" s="3"/>
      <c r="O38" s="1"/>
      <c r="P38" s="1"/>
      <c r="Q38" s="1"/>
      <c r="R38" s="14"/>
      <c r="S38" s="38" t="str">
        <f>G38</f>
        <v>Signature</v>
      </c>
      <c r="T38" s="38"/>
      <c r="U38" s="38"/>
      <c r="V38" s="1"/>
      <c r="W38" s="18"/>
      <c r="Z38" s="55"/>
      <c r="AA38" s="55"/>
      <c r="AB38" s="55"/>
      <c r="AC38" s="55"/>
      <c r="AD38" s="55"/>
      <c r="AE38" s="55"/>
      <c r="AF38" s="55"/>
    </row>
    <row r="39" spans="2:32">
      <c r="B39" s="15"/>
      <c r="C39" s="16"/>
      <c r="D39" s="16"/>
      <c r="E39" s="16"/>
      <c r="F39" s="16"/>
      <c r="G39" s="16"/>
      <c r="H39" s="16"/>
      <c r="I39" s="16"/>
      <c r="J39" s="16"/>
      <c r="K39" s="16"/>
      <c r="L39" s="26"/>
      <c r="M39" s="55"/>
      <c r="N39" s="15"/>
      <c r="O39" s="16"/>
      <c r="P39" s="16"/>
      <c r="Q39" s="16"/>
      <c r="R39" s="16"/>
      <c r="S39" s="16"/>
      <c r="T39" s="16"/>
      <c r="U39" s="16"/>
      <c r="V39" s="16"/>
      <c r="W39" s="26"/>
      <c r="Z39" s="55"/>
      <c r="AA39" s="55"/>
      <c r="AB39" s="55"/>
      <c r="AC39" s="55"/>
      <c r="AD39" s="55"/>
      <c r="AE39" s="55"/>
      <c r="AF39" s="55"/>
    </row>
    <row r="40" spans="2:32">
      <c r="M40" s="55"/>
      <c r="Z40" s="55"/>
      <c r="AA40" s="55"/>
      <c r="AB40" s="55"/>
      <c r="AC40" s="55"/>
      <c r="AD40" s="55"/>
      <c r="AE40" s="55"/>
      <c r="AF40" s="55"/>
    </row>
    <row r="41" spans="2:32">
      <c r="M41" s="55"/>
      <c r="Z41" s="55"/>
      <c r="AA41" s="55"/>
      <c r="AB41" s="55"/>
      <c r="AC41" s="55"/>
      <c r="AD41" s="55"/>
      <c r="AE41" s="55"/>
      <c r="AF41" s="55"/>
    </row>
    <row r="42" spans="2:32">
      <c r="M42" s="55"/>
      <c r="Z42" s="55"/>
      <c r="AA42" s="55"/>
      <c r="AB42" s="55"/>
      <c r="AC42" s="55"/>
      <c r="AD42" s="55"/>
      <c r="AE42" s="55"/>
      <c r="AF42" s="55"/>
    </row>
    <row r="43" spans="2:32">
      <c r="M43" s="55"/>
      <c r="Z43" s="55"/>
      <c r="AA43" s="55"/>
      <c r="AB43" s="55"/>
      <c r="AC43" s="55"/>
      <c r="AD43" s="55"/>
      <c r="AE43" s="55"/>
      <c r="AF43" s="55"/>
    </row>
    <row r="44" spans="2:32">
      <c r="M44" s="55"/>
      <c r="Z44" s="55"/>
      <c r="AA44" s="55"/>
      <c r="AB44" s="55"/>
      <c r="AC44" s="55"/>
      <c r="AD44" s="55"/>
      <c r="AE44" s="55"/>
      <c r="AF44" s="55"/>
    </row>
    <row r="45" spans="2:32">
      <c r="M45" s="55"/>
      <c r="Z45" s="55"/>
      <c r="AA45" s="55"/>
      <c r="AB45" s="55"/>
      <c r="AC45" s="55"/>
      <c r="AD45" s="55"/>
      <c r="AE45" s="55"/>
      <c r="AF45" s="55"/>
    </row>
    <row r="46" spans="2:32">
      <c r="M46" s="55"/>
      <c r="Z46" s="55"/>
      <c r="AA46" s="55"/>
      <c r="AB46" s="55"/>
      <c r="AC46" s="55"/>
      <c r="AD46" s="55"/>
      <c r="AE46" s="55"/>
      <c r="AF46" s="55"/>
    </row>
    <row r="47" spans="2:32">
      <c r="M47" s="55"/>
      <c r="Z47" s="55"/>
      <c r="AA47" s="55"/>
      <c r="AB47" s="55"/>
      <c r="AC47" s="55"/>
      <c r="AD47" s="55"/>
      <c r="AE47" s="55"/>
      <c r="AF47" s="55"/>
    </row>
    <row r="48" spans="2:32">
      <c r="M48" s="55"/>
      <c r="Z48" s="55"/>
      <c r="AA48" s="55"/>
      <c r="AB48" s="55"/>
      <c r="AC48" s="55"/>
      <c r="AD48" s="55"/>
      <c r="AE48" s="55"/>
      <c r="AF48" s="55"/>
    </row>
    <row r="49" spans="13:32">
      <c r="M49" s="55"/>
      <c r="Z49" s="55"/>
      <c r="AA49" s="55"/>
      <c r="AB49" s="55"/>
      <c r="AC49" s="55"/>
      <c r="AD49" s="55"/>
      <c r="AE49" s="55"/>
      <c r="AF49" s="55"/>
    </row>
    <row r="50" spans="13:32">
      <c r="M50" s="55"/>
      <c r="Z50" s="55"/>
      <c r="AA50" s="55"/>
      <c r="AB50" s="55"/>
      <c r="AC50" s="55"/>
      <c r="AD50" s="55"/>
      <c r="AE50" s="55"/>
      <c r="AF50" s="55"/>
    </row>
    <row r="51" spans="13:32">
      <c r="M51" s="55"/>
      <c r="Z51" s="55"/>
      <c r="AA51" s="55"/>
      <c r="AB51" s="55"/>
      <c r="AC51" s="55"/>
      <c r="AD51" s="55"/>
      <c r="AE51" s="55"/>
      <c r="AF51" s="55"/>
    </row>
    <row r="52" spans="13:32">
      <c r="Z52" s="55"/>
      <c r="AA52" s="55"/>
      <c r="AB52" s="55"/>
      <c r="AC52" s="55"/>
      <c r="AD52" s="55"/>
      <c r="AE52" s="55"/>
      <c r="AF52" s="55"/>
    </row>
    <row r="53" spans="13:32">
      <c r="Z53" s="55"/>
      <c r="AA53" s="55"/>
      <c r="AB53" s="55"/>
      <c r="AC53" s="55"/>
      <c r="AD53" s="55"/>
      <c r="AE53" s="55"/>
      <c r="AF53" s="55"/>
    </row>
    <row r="54" spans="13:32">
      <c r="Z54" s="55"/>
      <c r="AA54" s="55"/>
      <c r="AB54" s="55"/>
      <c r="AC54" s="55"/>
      <c r="AD54" s="55"/>
      <c r="AE54" s="55"/>
      <c r="AF54" s="55"/>
    </row>
    <row r="55" spans="13:32">
      <c r="Z55" s="55"/>
      <c r="AA55" s="55"/>
      <c r="AB55" s="55"/>
      <c r="AC55" s="55"/>
      <c r="AD55" s="55"/>
      <c r="AE55" s="55"/>
      <c r="AF55" s="55"/>
    </row>
    <row r="56" spans="13:32">
      <c r="Z56" s="55"/>
      <c r="AA56" s="55"/>
      <c r="AB56" s="55"/>
      <c r="AC56" s="55"/>
      <c r="AD56" s="55"/>
      <c r="AE56" s="55"/>
      <c r="AF56" s="55"/>
    </row>
    <row r="57" spans="13:32">
      <c r="Z57" s="55"/>
      <c r="AA57" s="55"/>
      <c r="AB57" s="55"/>
      <c r="AC57" s="55"/>
      <c r="AD57" s="55"/>
      <c r="AE57" s="55"/>
      <c r="AF57" s="55"/>
    </row>
    <row r="58" spans="13:32">
      <c r="Z58" s="55"/>
      <c r="AA58" s="55"/>
      <c r="AB58" s="55"/>
      <c r="AC58" s="55"/>
      <c r="AD58" s="55"/>
      <c r="AE58" s="55"/>
      <c r="AF58" s="55"/>
    </row>
    <row r="59" spans="13:32">
      <c r="Z59" s="55"/>
      <c r="AA59" s="55"/>
      <c r="AB59" s="55"/>
      <c r="AC59" s="55"/>
      <c r="AD59" s="55"/>
      <c r="AE59" s="55"/>
      <c r="AF59" s="55"/>
    </row>
    <row r="60" spans="13:32">
      <c r="Z60" s="55"/>
      <c r="AA60" s="55"/>
      <c r="AB60" s="55"/>
      <c r="AC60" s="55"/>
      <c r="AD60" s="55"/>
      <c r="AE60" s="55"/>
      <c r="AF60" s="55"/>
    </row>
    <row r="61" spans="13:32">
      <c r="Z61" s="55"/>
      <c r="AA61" s="55"/>
      <c r="AB61" s="55"/>
      <c r="AC61" s="55"/>
      <c r="AD61" s="55"/>
      <c r="AE61" s="55"/>
      <c r="AF61" s="55"/>
    </row>
    <row r="62" spans="13:32">
      <c r="Z62" s="55"/>
      <c r="AA62" s="55"/>
      <c r="AB62" s="55"/>
      <c r="AC62" s="55"/>
      <c r="AD62" s="55"/>
      <c r="AE62" s="55"/>
      <c r="AF62" s="55"/>
    </row>
    <row r="63" spans="13:32">
      <c r="Z63" s="55"/>
      <c r="AA63" s="55"/>
      <c r="AB63" s="55"/>
      <c r="AC63" s="55"/>
      <c r="AD63" s="55"/>
      <c r="AE63" s="55"/>
      <c r="AF63" s="55"/>
    </row>
    <row r="64" spans="13:32">
      <c r="Z64" s="55"/>
      <c r="AA64" s="55"/>
      <c r="AB64" s="55"/>
      <c r="AC64" s="55"/>
      <c r="AD64" s="55"/>
      <c r="AE64" s="55"/>
      <c r="AF64" s="55"/>
    </row>
    <row r="65" spans="26:32">
      <c r="Z65" s="55"/>
      <c r="AA65" s="55"/>
      <c r="AB65" s="55"/>
      <c r="AC65" s="55"/>
      <c r="AD65" s="55"/>
      <c r="AE65" s="55"/>
      <c r="AF65" s="55"/>
    </row>
    <row r="66" spans="26:32">
      <c r="Z66" s="55"/>
      <c r="AA66" s="55"/>
      <c r="AB66" s="55"/>
      <c r="AC66" s="55"/>
      <c r="AD66" s="55"/>
      <c r="AE66" s="55"/>
      <c r="AF66" s="55"/>
    </row>
    <row r="67" spans="26:32">
      <c r="Z67" s="55"/>
      <c r="AA67" s="55"/>
      <c r="AB67" s="55"/>
      <c r="AC67" s="55"/>
      <c r="AD67" s="55"/>
      <c r="AE67" s="55"/>
      <c r="AF67" s="55"/>
    </row>
    <row r="68" spans="26:32">
      <c r="Z68" s="55"/>
      <c r="AA68" s="55"/>
      <c r="AB68" s="55"/>
      <c r="AC68" s="55"/>
      <c r="AD68" s="55"/>
      <c r="AE68" s="55"/>
      <c r="AF68" s="55"/>
    </row>
    <row r="69" spans="26:32">
      <c r="Z69" s="55"/>
      <c r="AA69" s="55"/>
      <c r="AB69" s="55"/>
      <c r="AC69" s="55"/>
      <c r="AD69" s="55"/>
      <c r="AE69" s="55"/>
      <c r="AF69" s="55"/>
    </row>
    <row r="70" spans="26:32">
      <c r="Z70" s="55"/>
      <c r="AA70" s="55"/>
      <c r="AB70" s="55"/>
      <c r="AC70" s="55"/>
      <c r="AD70" s="55"/>
      <c r="AE70" s="55"/>
      <c r="AF70" s="55"/>
    </row>
    <row r="71" spans="26:32">
      <c r="Z71" s="55"/>
      <c r="AA71" s="55"/>
      <c r="AB71" s="55"/>
      <c r="AC71" s="55"/>
      <c r="AD71" s="55"/>
      <c r="AE71" s="55"/>
      <c r="AF71" s="55"/>
    </row>
    <row r="72" spans="26:32">
      <c r="Z72" s="55"/>
      <c r="AA72" s="55"/>
      <c r="AB72" s="55"/>
      <c r="AC72" s="55"/>
      <c r="AD72" s="55"/>
      <c r="AE72" s="55"/>
      <c r="AF72" s="55"/>
    </row>
    <row r="73" spans="26:32">
      <c r="Z73" s="55"/>
      <c r="AA73" s="55"/>
      <c r="AB73" s="55"/>
      <c r="AC73" s="55"/>
      <c r="AD73" s="55"/>
      <c r="AE73" s="55"/>
      <c r="AF73" s="55"/>
    </row>
    <row r="74" spans="26:32">
      <c r="Z74" s="55"/>
      <c r="AA74" s="55"/>
      <c r="AB74" s="55"/>
      <c r="AC74" s="55"/>
      <c r="AD74" s="55"/>
      <c r="AE74" s="55"/>
      <c r="AF74" s="55"/>
    </row>
    <row r="75" spans="26:32">
      <c r="Z75" s="55"/>
      <c r="AA75" s="55"/>
      <c r="AB75" s="55"/>
      <c r="AC75" s="55"/>
      <c r="AD75" s="55"/>
      <c r="AE75" s="55"/>
      <c r="AF75" s="55"/>
    </row>
    <row r="76" spans="26:32">
      <c r="Z76" s="55"/>
      <c r="AA76" s="55"/>
      <c r="AB76" s="55"/>
      <c r="AC76" s="55"/>
      <c r="AD76" s="55"/>
      <c r="AE76" s="55"/>
      <c r="AF76" s="55"/>
    </row>
    <row r="77" spans="26:32">
      <c r="Z77" s="55"/>
      <c r="AA77" s="55"/>
      <c r="AB77" s="55"/>
      <c r="AC77" s="55"/>
      <c r="AD77" s="55"/>
      <c r="AE77" s="55"/>
      <c r="AF77" s="55"/>
    </row>
    <row r="78" spans="26:32">
      <c r="Z78" s="55"/>
      <c r="AA78" s="55"/>
      <c r="AB78" s="55"/>
      <c r="AC78" s="55"/>
      <c r="AD78" s="55"/>
      <c r="AE78" s="55"/>
      <c r="AF78" s="55"/>
    </row>
    <row r="79" spans="26:32">
      <c r="Z79" s="55"/>
      <c r="AA79" s="55"/>
      <c r="AB79" s="55"/>
      <c r="AC79" s="55"/>
      <c r="AD79" s="55"/>
      <c r="AE79" s="55"/>
      <c r="AF79" s="55"/>
    </row>
    <row r="80" spans="26:32">
      <c r="Z80" s="55"/>
      <c r="AA80" s="55"/>
      <c r="AB80" s="55"/>
      <c r="AC80" s="55"/>
      <c r="AD80" s="55"/>
      <c r="AE80" s="55"/>
      <c r="AF80" s="55"/>
    </row>
    <row r="81" spans="26:32">
      <c r="Z81" s="55"/>
      <c r="AA81" s="55"/>
      <c r="AB81" s="55"/>
      <c r="AC81" s="55"/>
      <c r="AD81" s="55"/>
      <c r="AE81" s="55"/>
      <c r="AF81" s="55"/>
    </row>
    <row r="82" spans="26:32">
      <c r="Z82" s="55"/>
      <c r="AA82" s="55"/>
      <c r="AB82" s="55"/>
      <c r="AC82" s="55"/>
      <c r="AD82" s="55"/>
      <c r="AE82" s="55"/>
      <c r="AF82" s="55"/>
    </row>
    <row r="83" spans="26:32">
      <c r="Z83" s="55"/>
      <c r="AA83" s="55"/>
      <c r="AB83" s="55"/>
      <c r="AC83" s="55"/>
      <c r="AD83" s="55"/>
      <c r="AE83" s="55"/>
      <c r="AF83" s="55"/>
    </row>
    <row r="84" spans="26:32">
      <c r="Z84" s="55"/>
      <c r="AA84" s="55"/>
      <c r="AB84" s="55"/>
      <c r="AC84" s="55"/>
      <c r="AD84" s="55"/>
      <c r="AE84" s="55"/>
      <c r="AF84" s="55"/>
    </row>
    <row r="85" spans="26:32">
      <c r="Z85" s="55"/>
      <c r="AA85" s="55"/>
      <c r="AB85" s="55"/>
      <c r="AC85" s="55"/>
      <c r="AD85" s="55"/>
      <c r="AE85" s="55"/>
      <c r="AF85" s="55"/>
    </row>
    <row r="86" spans="26:32">
      <c r="Z86" s="55"/>
      <c r="AA86" s="55"/>
      <c r="AB86" s="55"/>
      <c r="AC86" s="55"/>
      <c r="AD86" s="55"/>
      <c r="AE86" s="55"/>
      <c r="AF86" s="55"/>
    </row>
    <row r="87" spans="26:32">
      <c r="Z87" s="55"/>
      <c r="AA87" s="55"/>
      <c r="AB87" s="55"/>
      <c r="AC87" s="55"/>
      <c r="AD87" s="55"/>
      <c r="AE87" s="55"/>
      <c r="AF87" s="55"/>
    </row>
    <row r="88" spans="26:32">
      <c r="Z88" s="55"/>
      <c r="AA88" s="55"/>
      <c r="AB88" s="55"/>
      <c r="AC88" s="55"/>
      <c r="AD88" s="55"/>
      <c r="AE88" s="55"/>
      <c r="AF88" s="55"/>
    </row>
    <row r="89" spans="26:32">
      <c r="Z89" s="55"/>
      <c r="AA89" s="55"/>
      <c r="AB89" s="55"/>
      <c r="AC89" s="55"/>
      <c r="AD89" s="55"/>
      <c r="AE89" s="55"/>
      <c r="AF89" s="55"/>
    </row>
    <row r="90" spans="26:32">
      <c r="Z90" s="55"/>
      <c r="AA90" s="55"/>
      <c r="AB90" s="55"/>
      <c r="AC90" s="55"/>
      <c r="AD90" s="55"/>
      <c r="AE90" s="55"/>
      <c r="AF90" s="55"/>
    </row>
    <row r="91" spans="26:32">
      <c r="Z91" s="55"/>
      <c r="AA91" s="55"/>
      <c r="AB91" s="55"/>
      <c r="AC91" s="55"/>
      <c r="AD91" s="55"/>
      <c r="AE91" s="55"/>
      <c r="AF91" s="55"/>
    </row>
    <row r="92" spans="26:32">
      <c r="Z92" s="55"/>
      <c r="AA92" s="55"/>
      <c r="AB92" s="55"/>
      <c r="AC92" s="55"/>
      <c r="AD92" s="55"/>
      <c r="AE92" s="55"/>
      <c r="AF92" s="55"/>
    </row>
    <row r="93" spans="26:32">
      <c r="Z93" s="55"/>
      <c r="AA93" s="55"/>
      <c r="AB93" s="55"/>
      <c r="AC93" s="55"/>
      <c r="AD93" s="55"/>
      <c r="AE93" s="55"/>
      <c r="AF93" s="55"/>
    </row>
    <row r="94" spans="26:32">
      <c r="Z94" s="55"/>
      <c r="AA94" s="55"/>
      <c r="AB94" s="55"/>
      <c r="AC94" s="55"/>
      <c r="AD94" s="55"/>
      <c r="AE94" s="55"/>
      <c r="AF94" s="55"/>
    </row>
    <row r="95" spans="26:32">
      <c r="Z95" s="55"/>
      <c r="AA95" s="55"/>
      <c r="AB95" s="55"/>
      <c r="AC95" s="55"/>
      <c r="AD95" s="55"/>
      <c r="AE95" s="55"/>
      <c r="AF95" s="55"/>
    </row>
    <row r="96" spans="26:32">
      <c r="Z96" s="55"/>
      <c r="AA96" s="55"/>
      <c r="AB96" s="55"/>
      <c r="AC96" s="55"/>
      <c r="AD96" s="55"/>
      <c r="AE96" s="55"/>
      <c r="AF96" s="55"/>
    </row>
    <row r="97" spans="26:32">
      <c r="Z97" s="55"/>
      <c r="AA97" s="55"/>
      <c r="AB97" s="55"/>
      <c r="AC97" s="55"/>
      <c r="AD97" s="55"/>
      <c r="AE97" s="55"/>
      <c r="AF97" s="55"/>
    </row>
    <row r="98" spans="26:32">
      <c r="Z98" s="55"/>
      <c r="AA98" s="55"/>
      <c r="AB98" s="55"/>
      <c r="AC98" s="55"/>
      <c r="AD98" s="55"/>
      <c r="AE98" s="55"/>
      <c r="AF98" s="55"/>
    </row>
    <row r="99" spans="26:32">
      <c r="Z99" s="55"/>
      <c r="AA99" s="55"/>
      <c r="AB99" s="55"/>
      <c r="AC99" s="55"/>
      <c r="AD99" s="55"/>
      <c r="AE99" s="55"/>
      <c r="AF99" s="55"/>
    </row>
    <row r="100" spans="26:32">
      <c r="Z100" s="55"/>
      <c r="AA100" s="55"/>
      <c r="AB100" s="55"/>
      <c r="AC100" s="55"/>
      <c r="AD100" s="55"/>
      <c r="AE100" s="55"/>
      <c r="AF100" s="55"/>
    </row>
    <row r="101" spans="26:32">
      <c r="Z101" s="55"/>
      <c r="AA101" s="55"/>
      <c r="AB101" s="55"/>
      <c r="AC101" s="55"/>
      <c r="AD101" s="55"/>
      <c r="AE101" s="55"/>
      <c r="AF101" s="55"/>
    </row>
    <row r="102" spans="26:32">
      <c r="Z102" s="55"/>
      <c r="AA102" s="55"/>
      <c r="AB102" s="55"/>
      <c r="AC102" s="55"/>
      <c r="AD102" s="55"/>
      <c r="AE102" s="55"/>
      <c r="AF102" s="55"/>
    </row>
    <row r="103" spans="26:32">
      <c r="Z103" s="55"/>
      <c r="AA103" s="55"/>
      <c r="AB103" s="55"/>
      <c r="AC103" s="55"/>
      <c r="AD103" s="55"/>
      <c r="AE103" s="55"/>
      <c r="AF103" s="55"/>
    </row>
    <row r="104" spans="26:32">
      <c r="Z104" s="55"/>
      <c r="AA104" s="55"/>
      <c r="AB104" s="55"/>
      <c r="AC104" s="55"/>
      <c r="AD104" s="55"/>
      <c r="AE104" s="55"/>
      <c r="AF104" s="55"/>
    </row>
    <row r="105" spans="26:32">
      <c r="Z105" s="55"/>
      <c r="AA105" s="55"/>
      <c r="AB105" s="55"/>
      <c r="AC105" s="55"/>
      <c r="AD105" s="55"/>
      <c r="AE105" s="55"/>
      <c r="AF105" s="55"/>
    </row>
    <row r="106" spans="26:32">
      <c r="Z106" s="55"/>
      <c r="AA106" s="55"/>
      <c r="AB106" s="55"/>
      <c r="AC106" s="55"/>
      <c r="AD106" s="55"/>
      <c r="AE106" s="55"/>
      <c r="AF106" s="55"/>
    </row>
    <row r="107" spans="26:32">
      <c r="Z107" s="55"/>
      <c r="AA107" s="55"/>
      <c r="AB107" s="55"/>
      <c r="AC107" s="55"/>
      <c r="AD107" s="55"/>
      <c r="AE107" s="55"/>
      <c r="AF107" s="55"/>
    </row>
    <row r="108" spans="26:32">
      <c r="Z108" s="55"/>
      <c r="AA108" s="55"/>
      <c r="AB108" s="55"/>
      <c r="AC108" s="55"/>
      <c r="AD108" s="55"/>
      <c r="AE108" s="55"/>
      <c r="AF108" s="55"/>
    </row>
    <row r="109" spans="26:32">
      <c r="Z109" s="55"/>
      <c r="AA109" s="55"/>
      <c r="AB109" s="55"/>
      <c r="AC109" s="55"/>
      <c r="AD109" s="55"/>
      <c r="AE109" s="55"/>
      <c r="AF109" s="55"/>
    </row>
  </sheetData>
  <mergeCells count="111">
    <mergeCell ref="Z1:AF109"/>
    <mergeCell ref="C33:E33"/>
    <mergeCell ref="O33:Q33"/>
    <mergeCell ref="C34:E34"/>
    <mergeCell ref="G34:H34"/>
    <mergeCell ref="O34:Q34"/>
    <mergeCell ref="S34:T34"/>
    <mergeCell ref="C35:E35"/>
    <mergeCell ref="O35:Q35"/>
    <mergeCell ref="G38:I38"/>
    <mergeCell ref="S38:U38"/>
    <mergeCell ref="M1:M51"/>
    <mergeCell ref="C28:E28"/>
    <mergeCell ref="H28:I28"/>
    <mergeCell ref="J28:K28"/>
    <mergeCell ref="O28:Q28"/>
    <mergeCell ref="T28:U28"/>
    <mergeCell ref="G31:H31"/>
    <mergeCell ref="S31:T31"/>
    <mergeCell ref="C32:F32"/>
    <mergeCell ref="G32:H32"/>
    <mergeCell ref="O32:R32"/>
    <mergeCell ref="S32:T32"/>
    <mergeCell ref="C26:E26"/>
    <mergeCell ref="H26:I26"/>
    <mergeCell ref="J26:K26"/>
    <mergeCell ref="O26:Q26"/>
    <mergeCell ref="T26:U26"/>
    <mergeCell ref="C27:E27"/>
    <mergeCell ref="H27:I27"/>
    <mergeCell ref="J27:K27"/>
    <mergeCell ref="O27:Q27"/>
    <mergeCell ref="T27:U27"/>
    <mergeCell ref="C24:E24"/>
    <mergeCell ref="H24:I24"/>
    <mergeCell ref="J24:K24"/>
    <mergeCell ref="O24:Q24"/>
    <mergeCell ref="T24:U24"/>
    <mergeCell ref="C25:E25"/>
    <mergeCell ref="H25:I25"/>
    <mergeCell ref="J25:K25"/>
    <mergeCell ref="O25:Q25"/>
    <mergeCell ref="T25:U25"/>
    <mergeCell ref="C22:E22"/>
    <mergeCell ref="H22:I22"/>
    <mergeCell ref="J22:K22"/>
    <mergeCell ref="O22:Q22"/>
    <mergeCell ref="T22:U22"/>
    <mergeCell ref="C23:E23"/>
    <mergeCell ref="H23:I23"/>
    <mergeCell ref="J23:K23"/>
    <mergeCell ref="O23:Q23"/>
    <mergeCell ref="T23:U23"/>
    <mergeCell ref="C20:E20"/>
    <mergeCell ref="H20:I20"/>
    <mergeCell ref="J20:K20"/>
    <mergeCell ref="O20:Q20"/>
    <mergeCell ref="T20:U20"/>
    <mergeCell ref="C21:E21"/>
    <mergeCell ref="H21:I21"/>
    <mergeCell ref="J21:K21"/>
    <mergeCell ref="O21:Q21"/>
    <mergeCell ref="T21:U21"/>
    <mergeCell ref="C18:E18"/>
    <mergeCell ref="H18:I18"/>
    <mergeCell ref="J18:K18"/>
    <mergeCell ref="O18:Q18"/>
    <mergeCell ref="T18:U18"/>
    <mergeCell ref="C19:E19"/>
    <mergeCell ref="H19:I19"/>
    <mergeCell ref="J19:K19"/>
    <mergeCell ref="O19:Q19"/>
    <mergeCell ref="T19:U19"/>
    <mergeCell ref="C16:E16"/>
    <mergeCell ref="H16:I16"/>
    <mergeCell ref="J16:K16"/>
    <mergeCell ref="O16:Q16"/>
    <mergeCell ref="T16:U16"/>
    <mergeCell ref="C17:E17"/>
    <mergeCell ref="H17:I17"/>
    <mergeCell ref="J17:K17"/>
    <mergeCell ref="O17:Q17"/>
    <mergeCell ref="T17:U17"/>
    <mergeCell ref="C14:E14"/>
    <mergeCell ref="H14:I14"/>
    <mergeCell ref="J14:K14"/>
    <mergeCell ref="O14:Q14"/>
    <mergeCell ref="T14:U14"/>
    <mergeCell ref="C15:E15"/>
    <mergeCell ref="H15:I15"/>
    <mergeCell ref="J15:K15"/>
    <mergeCell ref="O15:Q15"/>
    <mergeCell ref="T15:U15"/>
    <mergeCell ref="I7:J7"/>
    <mergeCell ref="I8:J8"/>
    <mergeCell ref="I9:J9"/>
    <mergeCell ref="E10:K10"/>
    <mergeCell ref="Q10:V10"/>
    <mergeCell ref="E11:K11"/>
    <mergeCell ref="Q11:V11"/>
    <mergeCell ref="E12:K12"/>
    <mergeCell ref="Q12:V12"/>
    <mergeCell ref="C2:K2"/>
    <mergeCell ref="O2:V2"/>
    <mergeCell ref="C3:K3"/>
    <mergeCell ref="O3:V3"/>
    <mergeCell ref="C4:K4"/>
    <mergeCell ref="O4:V4"/>
    <mergeCell ref="C5:K5"/>
    <mergeCell ref="O5:V5"/>
    <mergeCell ref="I6:J6"/>
  </mergeCells>
  <pageMargins left="0.7" right="0.7" top="0.75" bottom="0.75" header="0.3" footer="0.3"/>
  <pageSetup paperSize="12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G4"/>
  <sheetViews>
    <sheetView topLeftCell="AP2" workbookViewId="0">
      <selection activeCell="F2" sqref="F2"/>
    </sheetView>
  </sheetViews>
  <sheetFormatPr defaultColWidth="9" defaultRowHeight="15"/>
  <cols>
    <col min="1" max="1" width="12.5703125" customWidth="1"/>
    <col min="3" max="3" width="17.42578125" customWidth="1"/>
    <col min="4" max="4" width="20.7109375" customWidth="1"/>
    <col min="5" max="5" width="41.85546875" customWidth="1"/>
    <col min="6" max="6" width="16" customWidth="1"/>
    <col min="10" max="10" width="11.7109375" customWidth="1"/>
    <col min="11" max="11" width="14.140625" customWidth="1"/>
    <col min="15" max="15" width="12.140625" customWidth="1"/>
    <col min="20" max="20" width="11.7109375" customWidth="1"/>
    <col min="25" max="25" width="11.7109375" customWidth="1"/>
    <col min="30" max="30" width="12.140625" customWidth="1"/>
    <col min="35" max="35" width="11.7109375" customWidth="1"/>
    <col min="40" max="40" width="12.140625" customWidth="1"/>
    <col min="45" max="45" width="11.7109375" customWidth="1"/>
    <col min="50" max="50" width="11.7109375" customWidth="1"/>
    <col min="51" max="51" width="9.7109375" customWidth="1"/>
    <col min="52" max="52" width="9.28515625" customWidth="1"/>
    <col min="54" max="54" width="9.5703125" customWidth="1"/>
    <col min="55" max="55" width="13.140625" customWidth="1"/>
    <col min="56" max="56" width="15.140625" customWidth="1"/>
    <col min="57" max="57" width="10.85546875" customWidth="1"/>
    <col min="59" max="59" width="13.28515625" customWidth="1"/>
  </cols>
  <sheetData>
    <row r="1" spans="1:59">
      <c r="A1" t="s">
        <v>38</v>
      </c>
      <c r="B1" t="s">
        <v>39</v>
      </c>
      <c r="C1" t="s">
        <v>11</v>
      </c>
      <c r="D1" t="s">
        <v>40</v>
      </c>
      <c r="E1" t="s">
        <v>14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  <c r="AQ1" t="s">
        <v>78</v>
      </c>
      <c r="AR1" t="s">
        <v>79</v>
      </c>
      <c r="AS1" t="s">
        <v>80</v>
      </c>
      <c r="AT1" t="s">
        <v>81</v>
      </c>
      <c r="AU1" t="s">
        <v>82</v>
      </c>
      <c r="AV1" t="s">
        <v>83</v>
      </c>
      <c r="AW1" t="s">
        <v>84</v>
      </c>
      <c r="AX1" t="s">
        <v>85</v>
      </c>
      <c r="AY1" t="s">
        <v>86</v>
      </c>
      <c r="AZ1" t="s">
        <v>87</v>
      </c>
      <c r="BA1" t="s">
        <v>88</v>
      </c>
      <c r="BB1" t="s">
        <v>89</v>
      </c>
      <c r="BC1" t="s">
        <v>90</v>
      </c>
      <c r="BD1" t="s">
        <v>29</v>
      </c>
      <c r="BE1" t="s">
        <v>91</v>
      </c>
      <c r="BF1" t="s">
        <v>92</v>
      </c>
      <c r="BG1" t="s">
        <v>35</v>
      </c>
    </row>
    <row r="2" spans="1:59">
      <c r="A2">
        <v>2</v>
      </c>
      <c r="B2">
        <v>2</v>
      </c>
      <c r="C2">
        <v>87348798</v>
      </c>
      <c r="D2" t="s">
        <v>93</v>
      </c>
      <c r="E2" t="s">
        <v>94</v>
      </c>
      <c r="F2" t="s">
        <v>23</v>
      </c>
      <c r="G2" t="s">
        <v>22</v>
      </c>
      <c r="H2">
        <v>23</v>
      </c>
      <c r="I2">
        <v>600</v>
      </c>
      <c r="J2">
        <f>H2*I2</f>
        <v>13800</v>
      </c>
      <c r="O2">
        <f>M2*N2</f>
        <v>0</v>
      </c>
      <c r="T2">
        <f>R2*S2</f>
        <v>0</v>
      </c>
      <c r="Y2">
        <f>W2*X2</f>
        <v>0</v>
      </c>
      <c r="AD2">
        <f>AB2*AC2</f>
        <v>0</v>
      </c>
      <c r="AI2">
        <f>AG2*AH2</f>
        <v>0</v>
      </c>
      <c r="AN2">
        <f>AL2*AM2</f>
        <v>0</v>
      </c>
      <c r="AS2">
        <f>AQ2*AR2</f>
        <v>0</v>
      </c>
      <c r="AX2">
        <f>AV2*AW2</f>
        <v>0</v>
      </c>
      <c r="BC2">
        <f>BA2*BB2</f>
        <v>0</v>
      </c>
      <c r="BG2">
        <v>0</v>
      </c>
    </row>
    <row r="3" spans="1:59">
      <c r="A3">
        <v>3</v>
      </c>
      <c r="B3">
        <v>112</v>
      </c>
      <c r="C3">
        <v>7878</v>
      </c>
      <c r="D3" t="s">
        <v>13</v>
      </c>
      <c r="E3" t="s">
        <v>15</v>
      </c>
      <c r="F3" t="s">
        <v>21</v>
      </c>
      <c r="G3" t="s">
        <v>22</v>
      </c>
      <c r="H3">
        <v>6</v>
      </c>
      <c r="I3">
        <v>1000</v>
      </c>
      <c r="J3">
        <f>H3*I3</f>
        <v>6000</v>
      </c>
      <c r="K3" t="s">
        <v>23</v>
      </c>
      <c r="L3" t="s">
        <v>24</v>
      </c>
      <c r="M3">
        <v>10</v>
      </c>
      <c r="N3">
        <v>1200</v>
      </c>
      <c r="O3">
        <f>M3*N3</f>
        <v>12000</v>
      </c>
      <c r="P3" t="s">
        <v>25</v>
      </c>
      <c r="Q3" t="s">
        <v>22</v>
      </c>
      <c r="R3">
        <v>15</v>
      </c>
      <c r="S3">
        <v>2500</v>
      </c>
      <c r="T3">
        <f>R3*S3</f>
        <v>37500</v>
      </c>
      <c r="U3" t="s">
        <v>26</v>
      </c>
      <c r="V3" t="s">
        <v>22</v>
      </c>
      <c r="W3">
        <v>3</v>
      </c>
      <c r="X3">
        <v>3500</v>
      </c>
      <c r="Y3">
        <f>W3*X3</f>
        <v>10500</v>
      </c>
      <c r="AD3">
        <f>AB3*AC3</f>
        <v>0</v>
      </c>
      <c r="AI3">
        <f>AG3*AH3</f>
        <v>0</v>
      </c>
      <c r="AN3">
        <f>AL3*AM3</f>
        <v>0</v>
      </c>
      <c r="AS3">
        <f>AQ3*AR3</f>
        <v>0</v>
      </c>
      <c r="AX3">
        <f>AV3*AW3</f>
        <v>0</v>
      </c>
      <c r="BC3">
        <f>BA3*BB3</f>
        <v>0</v>
      </c>
      <c r="BD3">
        <v>13800</v>
      </c>
      <c r="BE3">
        <v>1380</v>
      </c>
      <c r="BF3">
        <v>1863</v>
      </c>
      <c r="BG3">
        <v>14283</v>
      </c>
    </row>
    <row r="4" spans="1:59">
      <c r="A4">
        <v>2</v>
      </c>
      <c r="B4">
        <v>102</v>
      </c>
      <c r="C4">
        <v>3123456789</v>
      </c>
      <c r="D4" t="s">
        <v>106</v>
      </c>
      <c r="E4" t="s">
        <v>107</v>
      </c>
      <c r="F4" t="s">
        <v>23</v>
      </c>
      <c r="G4" t="s">
        <v>22</v>
      </c>
      <c r="H4">
        <v>12</v>
      </c>
      <c r="I4">
        <v>500</v>
      </c>
      <c r="J4">
        <f>H4*I4</f>
        <v>6000</v>
      </c>
      <c r="K4" t="s">
        <v>96</v>
      </c>
      <c r="L4" t="s">
        <v>24</v>
      </c>
      <c r="M4">
        <v>5</v>
      </c>
      <c r="N4">
        <v>1500</v>
      </c>
      <c r="O4">
        <f>M4*N4</f>
        <v>7500</v>
      </c>
      <c r="P4" t="s">
        <v>26</v>
      </c>
      <c r="Q4" t="s">
        <v>22</v>
      </c>
      <c r="R4">
        <v>7</v>
      </c>
      <c r="S4">
        <v>3500</v>
      </c>
      <c r="T4">
        <f>R4*S4</f>
        <v>24500</v>
      </c>
      <c r="U4" t="s">
        <v>97</v>
      </c>
      <c r="V4" t="s">
        <v>24</v>
      </c>
      <c r="W4">
        <v>10</v>
      </c>
      <c r="X4">
        <v>4200</v>
      </c>
      <c r="Y4">
        <f>W4*X4</f>
        <v>42000</v>
      </c>
      <c r="AD4">
        <f>AB4*AC4</f>
        <v>0</v>
      </c>
      <c r="AI4">
        <f>AG4*AH4</f>
        <v>0</v>
      </c>
      <c r="AN4">
        <f>AL4*AM4</f>
        <v>0</v>
      </c>
      <c r="AS4">
        <f>AQ4*AR4</f>
        <v>0</v>
      </c>
      <c r="AX4">
        <f>AV4*AW4</f>
        <v>0</v>
      </c>
      <c r="BC4">
        <f>BA4*BB4</f>
        <v>0</v>
      </c>
      <c r="BD4">
        <v>66000</v>
      </c>
      <c r="BE4">
        <v>6600</v>
      </c>
      <c r="BF4">
        <v>8910</v>
      </c>
      <c r="BG4">
        <v>68310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E5:G16"/>
  <sheetViews>
    <sheetView workbookViewId="0">
      <selection activeCell="G5" sqref="G5"/>
    </sheetView>
  </sheetViews>
  <sheetFormatPr defaultColWidth="9" defaultRowHeight="15"/>
  <cols>
    <col min="5" max="5" width="20" customWidth="1"/>
  </cols>
  <sheetData>
    <row r="5" spans="5:7">
      <c r="E5" t="s">
        <v>16</v>
      </c>
      <c r="G5" t="s">
        <v>95</v>
      </c>
    </row>
    <row r="6" spans="5:7">
      <c r="E6" t="s">
        <v>96</v>
      </c>
      <c r="G6" t="s">
        <v>22</v>
      </c>
    </row>
    <row r="7" spans="5:7">
      <c r="E7" t="s">
        <v>97</v>
      </c>
      <c r="G7" t="s">
        <v>98</v>
      </c>
    </row>
    <row r="8" spans="5:7">
      <c r="E8" t="s">
        <v>23</v>
      </c>
      <c r="G8" t="s">
        <v>99</v>
      </c>
    </row>
    <row r="9" spans="5:7">
      <c r="E9" t="s">
        <v>25</v>
      </c>
      <c r="G9" t="s">
        <v>100</v>
      </c>
    </row>
    <row r="10" spans="5:7">
      <c r="E10" t="s">
        <v>21</v>
      </c>
      <c r="G10" t="s">
        <v>24</v>
      </c>
    </row>
    <row r="11" spans="5:7">
      <c r="E11" t="s">
        <v>26</v>
      </c>
    </row>
    <row r="12" spans="5:7">
      <c r="E12" t="s">
        <v>101</v>
      </c>
    </row>
    <row r="13" spans="5:7">
      <c r="E13" t="s">
        <v>102</v>
      </c>
    </row>
    <row r="14" spans="5:7">
      <c r="E14" t="s">
        <v>103</v>
      </c>
    </row>
    <row r="15" spans="5:7">
      <c r="E15" t="s">
        <v>104</v>
      </c>
    </row>
    <row r="16" spans="5:7">
      <c r="E16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2"/>
  <sheetViews>
    <sheetView workbookViewId="0">
      <selection activeCell="A3" sqref="A3"/>
    </sheetView>
  </sheetViews>
  <sheetFormatPr defaultColWidth="9" defaultRowHeight="15"/>
  <cols>
    <col min="1" max="1" width="10.5703125" customWidth="1"/>
    <col min="2" max="2" width="12.5703125" customWidth="1"/>
    <col min="3" max="3" width="9.85546875" customWidth="1"/>
    <col min="4" max="4" width="14.28515625" customWidth="1"/>
    <col min="5" max="5" width="9.140625" customWidth="1"/>
    <col min="6" max="6" width="12.7109375" customWidth="1"/>
    <col min="7" max="7" width="19.42578125" customWidth="1"/>
    <col min="12" max="12" width="13.140625" customWidth="1"/>
    <col min="13" max="13" width="14.7109375" customWidth="1"/>
    <col min="14" max="14" width="11.5703125" customWidth="1"/>
  </cols>
  <sheetData>
    <row r="1" spans="1:14">
      <c r="A1" t="s">
        <v>6</v>
      </c>
      <c r="B1" t="s">
        <v>10</v>
      </c>
      <c r="C1" t="s">
        <v>11</v>
      </c>
      <c r="D1" t="s">
        <v>12</v>
      </c>
      <c r="E1" t="s">
        <v>14</v>
      </c>
      <c r="F1" t="s">
        <v>8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29</v>
      </c>
      <c r="M1" t="s">
        <v>31</v>
      </c>
      <c r="N1" t="s">
        <v>35</v>
      </c>
    </row>
    <row r="2" spans="1:14">
      <c r="A2">
        <f>Invoice!E7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Invoice</vt:lpstr>
      <vt:lpstr>InvoiceDatabase</vt:lpstr>
      <vt:lpstr>Sheet2</vt:lpstr>
      <vt:lpstr>Sheet3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cp:lastPrinted>2024-08-25T18:59:00Z</cp:lastPrinted>
  <dcterms:created xsi:type="dcterms:W3CDTF">2024-08-20T15:31:00Z</dcterms:created>
  <dcterms:modified xsi:type="dcterms:W3CDTF">2025-05-28T11:56:14Z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3C19FC50090A4261B9FF2D3EC55FBE37_12</vt:lpwstr>
  </property>
  <property fmtid="{D5CDD505-2E9C-101B-9397-08002B2CF9AE}" pid="3" name="KSOProductBuildVer">
    <vt:lpwstr>1033-12.2.0.21179</vt:lpwstr>
  </property>
</Properties>
</file>